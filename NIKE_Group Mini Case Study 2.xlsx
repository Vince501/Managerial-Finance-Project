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coyotesusd-my.sharepoint.com/personal/vincent_mutungi_coyotes_usd_edu/Documents/2025 Fall - Managerial Finance/Assignment/"/>
    </mc:Choice>
  </mc:AlternateContent>
  <xr:revisionPtr revIDLastSave="66" documentId="8_{23AACEDC-B893-46FB-82F7-DD205969E0F2}" xr6:coauthVersionLast="47" xr6:coauthVersionMax="47" xr10:uidLastSave="{97B653EF-7E11-4D39-807E-9220C5E1475F}"/>
  <bookViews>
    <workbookView minimized="1" xWindow="29715" yWindow="915" windowWidth="17280" windowHeight="8880" xr2:uid="{FF00CF4F-A995-4BA7-8A9E-CBC752D16D1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 l="1"/>
  <c r="H17" i="1"/>
  <c r="H16" i="1"/>
  <c r="G18" i="1"/>
  <c r="G17" i="1"/>
  <c r="G16" i="1"/>
  <c r="F18" i="1"/>
  <c r="F17" i="1"/>
  <c r="F16" i="1"/>
  <c r="E18" i="1"/>
  <c r="E17" i="1"/>
  <c r="E16" i="1"/>
  <c r="D18" i="1"/>
  <c r="D17" i="1"/>
  <c r="D16" i="1"/>
  <c r="C18" i="1"/>
  <c r="C17" i="1"/>
  <c r="C16" i="1"/>
</calcChain>
</file>

<file path=xl/sharedStrings.xml><?xml version="1.0" encoding="utf-8"?>
<sst xmlns="http://schemas.openxmlformats.org/spreadsheetml/2006/main" count="25" uniqueCount="25">
  <si>
    <t>Item (from financial statements)</t>
  </si>
  <si>
    <t>Current assets</t>
  </si>
  <si>
    <t>Current liabilities</t>
  </si>
  <si>
    <t>Cash</t>
  </si>
  <si>
    <t>Inventory</t>
  </si>
  <si>
    <t>Total assets</t>
  </si>
  <si>
    <t xml:space="preserve">Shareholders’ equity </t>
  </si>
  <si>
    <t xml:space="preserve">Net income — consolidated </t>
  </si>
  <si>
    <t>NIKE</t>
  </si>
  <si>
    <t>$ in millions</t>
  </si>
  <si>
    <t>Year</t>
  </si>
  <si>
    <t>Current ratio</t>
  </si>
  <si>
    <t>Quick ratio</t>
  </si>
  <si>
    <t>Cash ratio</t>
  </si>
  <si>
    <t>ROE</t>
  </si>
  <si>
    <t>ROA</t>
  </si>
  <si>
    <t>Equity multiplier/</t>
  </si>
  <si>
    <t>Financial leverage</t>
  </si>
  <si>
    <t>Formulas</t>
  </si>
  <si>
    <r>
      <t xml:space="preserve">Quick ratio 
=
(Current Assets - Inventory) 
</t>
    </r>
    <r>
      <rPr>
        <b/>
        <sz val="11"/>
        <color theme="1"/>
        <rFont val="Times New Roman"/>
        <family val="1"/>
      </rPr>
      <t>/</t>
    </r>
    <r>
      <rPr>
        <sz val="11"/>
        <color theme="1"/>
        <rFont val="Times New Roman"/>
        <family val="1"/>
      </rPr>
      <t xml:space="preserve"> 
Current Liabilities</t>
    </r>
  </si>
  <si>
    <r>
      <t xml:space="preserve">Current ratio 
= 
Current Assets 
</t>
    </r>
    <r>
      <rPr>
        <b/>
        <sz val="11"/>
        <color theme="1"/>
        <rFont val="Times New Roman"/>
        <family val="1"/>
      </rPr>
      <t>/</t>
    </r>
    <r>
      <rPr>
        <sz val="11"/>
        <color theme="1"/>
        <rFont val="Times New Roman"/>
        <family val="1"/>
      </rPr>
      <t xml:space="preserve"> 
Current Liabilities</t>
    </r>
  </si>
  <si>
    <t>Cash ratio 
=
Cash and Equivalents
/
Current Liabilities</t>
  </si>
  <si>
    <t>ROE 
=
Net Income 
/
Shareholders' Equity</t>
  </si>
  <si>
    <t>ROA
=
Net Income
/
Total Assets</t>
  </si>
  <si>
    <t>Equity multiplier
=
Total Assets
/
Total Shareholders'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</si>
</sst>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 x14ac:knownFonts="1">
    <font>
      <sz val="11"/>
      <color theme="1"/>
      <name val="Aptos Narrow"/>
      <family val="2"/>
      <scheme val="minor"/>
    </font>
    <font>
      <b/>
      <sz val="11"/>
      <color theme="1"/>
      <name val="Aptos Narrow"/>
      <family val="2"/>
      <scheme val="minor"/>
    </font>
    <font>
      <sz val="11"/>
      <color theme="1"/>
      <name val="Times New Roman"/>
      <family val="1"/>
    </font>
    <font>
      <b/>
      <sz val="11"/>
      <color theme="1"/>
      <name val="Times New Roman"/>
      <family val="1"/>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s>
  <cellStyleXfs count="1">
    <xf numFmtId="0" fontId="0" fillId="0" borderId="0"/>
  </cellStyleXfs>
  <cellXfs count="16">
    <xf numFmtId="0" fontId="0" fillId="0" borderId="0" xfId="0"/>
    <xf numFmtId="0" fontId="2" fillId="0" borderId="4" xfId="0" applyFont="1" applyBorder="1" applyAlignment="1">
      <alignment vertical="center"/>
    </xf>
    <xf numFmtId="0" fontId="3" fillId="0" borderId="2" xfId="0" applyFont="1" applyBorder="1" applyAlignment="1">
      <alignment vertical="center"/>
    </xf>
    <xf numFmtId="0" fontId="1" fillId="0" borderId="0" xfId="0" applyFont="1" applyAlignment="1">
      <alignment horizontal="left"/>
    </xf>
    <xf numFmtId="0" fontId="3" fillId="0" borderId="1" xfId="0" applyFont="1" applyBorder="1" applyAlignment="1">
      <alignment horizontal="left" vertical="center"/>
    </xf>
    <xf numFmtId="0" fontId="2" fillId="0" borderId="3" xfId="0" applyFont="1" applyBorder="1" applyAlignment="1">
      <alignment horizontal="left" vertical="center"/>
    </xf>
    <xf numFmtId="0" fontId="0" fillId="0" borderId="0" xfId="0" applyAlignment="1">
      <alignment horizontal="left"/>
    </xf>
    <xf numFmtId="0" fontId="2" fillId="0" borderId="4" xfId="0" applyFont="1" applyBorder="1" applyAlignment="1">
      <alignment horizontal="center" vertical="center" wrapText="1"/>
    </xf>
    <xf numFmtId="0" fontId="3" fillId="0" borderId="6" xfId="0" applyFont="1" applyBorder="1" applyAlignment="1">
      <alignment vertical="center" wrapText="1"/>
    </xf>
    <xf numFmtId="0" fontId="3" fillId="0" borderId="3" xfId="0" applyFont="1" applyBorder="1" applyAlignment="1">
      <alignment horizontal="left" vertical="center" wrapText="1"/>
    </xf>
    <xf numFmtId="0" fontId="3" fillId="0" borderId="4" xfId="0" applyFont="1" applyBorder="1" applyAlignment="1">
      <alignment vertical="center" wrapText="1"/>
    </xf>
    <xf numFmtId="164" fontId="2" fillId="0" borderId="4" xfId="0" applyNumberFormat="1" applyFont="1" applyBorder="1" applyAlignment="1">
      <alignment vertical="center" wrapText="1"/>
    </xf>
    <xf numFmtId="0" fontId="3" fillId="0" borderId="5" xfId="0" applyFont="1" applyBorder="1" applyAlignment="1">
      <alignment horizontal="left" vertical="center" wrapText="1"/>
    </xf>
    <xf numFmtId="0" fontId="3" fillId="0" borderId="3" xfId="0" applyFont="1" applyBorder="1" applyAlignment="1">
      <alignment horizontal="left" vertical="center" wrapText="1"/>
    </xf>
    <xf numFmtId="0" fontId="3" fillId="0" borderId="5" xfId="0" applyFont="1" applyBorder="1" applyAlignment="1">
      <alignment vertical="center" wrapText="1"/>
    </xf>
    <xf numFmtId="0" fontId="3"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18</xdr:row>
      <xdr:rowOff>121920</xdr:rowOff>
    </xdr:from>
    <xdr:to>
      <xdr:col>10</xdr:col>
      <xdr:colOff>152400</xdr:colOff>
      <xdr:row>33</xdr:row>
      <xdr:rowOff>175260</xdr:rowOff>
    </xdr:to>
    <xdr:sp macro="" textlink="">
      <xdr:nvSpPr>
        <xdr:cNvPr id="2" name="TextBox 1">
          <a:extLst>
            <a:ext uri="{FF2B5EF4-FFF2-40B4-BE49-F238E27FC236}">
              <a16:creationId xmlns:a16="http://schemas.microsoft.com/office/drawing/2014/main" id="{D35E5F24-27FD-9011-3877-109DDA7391DF}"/>
            </a:ext>
          </a:extLst>
        </xdr:cNvPr>
        <xdr:cNvSpPr txBox="1"/>
      </xdr:nvSpPr>
      <xdr:spPr>
        <a:xfrm>
          <a:off x="609600" y="5257800"/>
          <a:ext cx="9075420" cy="2796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latin typeface="Times New Roman" panose="02020603050405020304" pitchFamily="18" charset="0"/>
              <a:cs typeface="Times New Roman" panose="02020603050405020304" pitchFamily="18" charset="0"/>
            </a:rPr>
            <a:t>Liquidity Ratios Analysis</a:t>
          </a:r>
        </a:p>
        <a:p>
          <a:r>
            <a:rPr lang="en-US">
              <a:effectLst/>
              <a:latin typeface="Times New Roman" panose="02020603050405020304" pitchFamily="18" charset="0"/>
              <a:cs typeface="Times New Roman" panose="02020603050405020304" pitchFamily="18" charset="0"/>
            </a:rPr>
            <a:t>a) </a:t>
          </a:r>
          <a:r>
            <a:rPr lang="en-US" b="1">
              <a:effectLst/>
              <a:latin typeface="Times New Roman" panose="02020603050405020304" pitchFamily="18" charset="0"/>
              <a:cs typeface="Times New Roman" panose="02020603050405020304" pitchFamily="18" charset="0"/>
            </a:rPr>
            <a:t>Sufficiency of Current Assets to Cover Liabilities, Inventory Levels, and Cash Holdings</a:t>
          </a:r>
          <a:r>
            <a:rPr lang="en-US">
              <a:effectLst/>
              <a:latin typeface="Times New Roman" panose="02020603050405020304" pitchFamily="18" charset="0"/>
              <a:cs typeface="Times New Roman" panose="02020603050405020304" pitchFamily="18" charset="0"/>
            </a:rPr>
            <a:t>: </a:t>
          </a:r>
        </a:p>
        <a:p>
          <a:r>
            <a:rPr lang="en-US">
              <a:effectLst/>
              <a:latin typeface="Times New Roman" panose="02020603050405020304" pitchFamily="18" charset="0"/>
              <a:cs typeface="Times New Roman" panose="02020603050405020304" pitchFamily="18" charset="0"/>
            </a:rPr>
            <a:t>NIKE's current ratio in 2025 is 2.21, indicating the firm holds more than twice the current assets needed to cover its current liabilities,</a:t>
          </a:r>
          <a:r>
            <a:rPr lang="en-US" baseline="0">
              <a:effectLst/>
              <a:latin typeface="Times New Roman" panose="02020603050405020304" pitchFamily="18" charset="0"/>
              <a:cs typeface="Times New Roman" panose="02020603050405020304" pitchFamily="18" charset="0"/>
            </a:rPr>
            <a:t> </a:t>
          </a:r>
          <a:r>
            <a:rPr lang="en-US">
              <a:effectLst/>
              <a:latin typeface="Times New Roman" panose="02020603050405020304" pitchFamily="18" charset="0"/>
              <a:cs typeface="Times New Roman" panose="02020603050405020304" pitchFamily="18" charset="0"/>
            </a:rPr>
            <a:t>sufficient for short-term obligations. The quick ratio of 1.50 (excluding inventories) remains above 1, suggesting good liquidity even without relying on inventory sales. However, the cash ratio of 0.71 shows reliance on other current assets beyond just cash. Inventories represent about 32% of current assets (7,489 / 23,362), which is not excessive for a retail/apparel company but could indicate moderate inventory buildup if sales slow. Cash holdings are 32% of current assets (7,464 / 23,362), down from 39% in 2024,</a:t>
          </a:r>
          <a:r>
            <a:rPr lang="en-US" baseline="0">
              <a:effectLst/>
              <a:latin typeface="Times New Roman" panose="02020603050405020304" pitchFamily="18" charset="0"/>
              <a:cs typeface="Times New Roman" panose="02020603050405020304" pitchFamily="18" charset="0"/>
            </a:rPr>
            <a:t> </a:t>
          </a:r>
          <a:r>
            <a:rPr lang="en-US">
              <a:effectLst/>
              <a:latin typeface="Times New Roman" panose="02020603050405020304" pitchFamily="18" charset="0"/>
              <a:cs typeface="Times New Roman" panose="02020603050405020304" pitchFamily="18" charset="0"/>
            </a:rPr>
            <a:t>not too limited, but the decline suggests tighter cash management, possibly due to investments or repurchases.</a:t>
          </a:r>
        </a:p>
        <a:p>
          <a:endParaRPr lang="en-US">
            <a:effectLst/>
            <a:latin typeface="Times New Roman" panose="02020603050405020304" pitchFamily="18" charset="0"/>
            <a:cs typeface="Times New Roman" panose="02020603050405020304" pitchFamily="18" charset="0"/>
          </a:endParaRPr>
        </a:p>
        <a:p>
          <a:r>
            <a:rPr lang="en-US">
              <a:effectLst/>
              <a:latin typeface="Times New Roman" panose="02020603050405020304" pitchFamily="18" charset="0"/>
              <a:cs typeface="Times New Roman" panose="02020603050405020304" pitchFamily="18" charset="0"/>
            </a:rPr>
            <a:t>b) </a:t>
          </a:r>
          <a:r>
            <a:rPr lang="en-US" b="1">
              <a:effectLst/>
              <a:latin typeface="Times New Roman" panose="02020603050405020304" pitchFamily="18" charset="0"/>
              <a:cs typeface="Times New Roman" panose="02020603050405020304" pitchFamily="18" charset="0"/>
            </a:rPr>
            <a:t>Year-Over-Year Changes</a:t>
          </a:r>
          <a:r>
            <a:rPr lang="en-US">
              <a:effectLst/>
              <a:latin typeface="Times New Roman" panose="02020603050405020304" pitchFamily="18" charset="0"/>
              <a:cs typeface="Times New Roman" panose="02020603050405020304" pitchFamily="18" charset="0"/>
            </a:rPr>
            <a:t>: </a:t>
          </a:r>
        </a:p>
        <a:p>
          <a:r>
            <a:rPr lang="en-US"/>
            <a:t>Current Ratio: Dropped from 2.72 (2023) to 2.40 (2024) to 2.21 (2025), a 19% decline over two years. </a:t>
          </a:r>
        </a:p>
        <a:p>
          <a:r>
            <a:rPr lang="en-US"/>
            <a:t>Quick Ratio: Fell from 1.81 (2023) to 1.69 (2024) to 1.50 (2025), a 17% drop. </a:t>
          </a:r>
        </a:p>
        <a:p>
          <a:r>
            <a:rPr lang="en-US"/>
            <a:t>Cash Ratio: Rose from 0.80 (2023) to 0.93 (2024) but fell to 0.71 (2025), a 12% drop from 2023.</a:t>
          </a:r>
          <a:endParaRPr lang="en-US">
            <a:effectLst/>
            <a:latin typeface="Times New Roman" panose="02020603050405020304" pitchFamily="18" charset="0"/>
            <a:cs typeface="Times New Roman" panose="02020603050405020304" pitchFamily="18" charset="0"/>
          </a:endParaRPr>
        </a:p>
        <a:p>
          <a:endParaRPr lang="en-US">
            <a:effectLst/>
            <a:latin typeface="Times New Roman" panose="02020603050405020304" pitchFamily="18" charset="0"/>
            <a:cs typeface="Times New Roman" panose="02020603050405020304" pitchFamily="18" charset="0"/>
          </a:endParaRPr>
        </a:p>
        <a:p>
          <a:r>
            <a:rPr lang="en-US">
              <a:effectLst/>
              <a:latin typeface="Times New Roman" panose="02020603050405020304" pitchFamily="18" charset="0"/>
              <a:cs typeface="Times New Roman" panose="02020603050405020304" pitchFamily="18" charset="0"/>
            </a:rPr>
            <a:t>c) </a:t>
          </a:r>
          <a:r>
            <a:rPr lang="en-US" b="1">
              <a:effectLst/>
              <a:latin typeface="Times New Roman" panose="02020603050405020304" pitchFamily="18" charset="0"/>
              <a:cs typeface="Times New Roman" panose="02020603050405020304" pitchFamily="18" charset="0"/>
            </a:rPr>
            <a:t>Implications for Short-Term Operational Stability</a:t>
          </a:r>
          <a:r>
            <a:rPr lang="en-US">
              <a:effectLst/>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a:effectLst/>
            </a:rPr>
            <a:t>Declining ratios indicate reduced liquidity, driven by lower current assets and stable liabilities. However, ratios remain healthy (current &gt;2, quick &gt;1), ensuring short-term operational stability, though tighter cash (0.71) suggests cautious management amid revenue declines ($51.4B in 2024 to $46.3B in 2025).</a:t>
          </a:r>
        </a:p>
        <a:p>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xdr:col>
      <xdr:colOff>15240</xdr:colOff>
      <xdr:row>34</xdr:row>
      <xdr:rowOff>129541</xdr:rowOff>
    </xdr:from>
    <xdr:to>
      <xdr:col>10</xdr:col>
      <xdr:colOff>167640</xdr:colOff>
      <xdr:row>47</xdr:row>
      <xdr:rowOff>47626</xdr:rowOff>
    </xdr:to>
    <xdr:sp macro="" textlink="">
      <xdr:nvSpPr>
        <xdr:cNvPr id="3" name="TextBox 2">
          <a:extLst>
            <a:ext uri="{FF2B5EF4-FFF2-40B4-BE49-F238E27FC236}">
              <a16:creationId xmlns:a16="http://schemas.microsoft.com/office/drawing/2014/main" id="{19A3BE18-6B6C-5F1E-5D4F-DA374E08EE45}"/>
            </a:ext>
          </a:extLst>
        </xdr:cNvPr>
        <xdr:cNvSpPr txBox="1"/>
      </xdr:nvSpPr>
      <xdr:spPr>
        <a:xfrm>
          <a:off x="624840" y="8159116"/>
          <a:ext cx="9077325" cy="2270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latin typeface="Times New Roman" panose="02020603050405020304" pitchFamily="18" charset="0"/>
              <a:cs typeface="Times New Roman" panose="02020603050405020304" pitchFamily="18" charset="0"/>
            </a:rPr>
            <a:t>Profitability Ratios Analysis</a:t>
          </a:r>
        </a:p>
        <a:p>
          <a:r>
            <a:rPr lang="en-US">
              <a:effectLst/>
              <a:latin typeface="Times New Roman" panose="02020603050405020304" pitchFamily="18" charset="0"/>
              <a:cs typeface="Times New Roman" panose="02020603050405020304" pitchFamily="18" charset="0"/>
            </a:rPr>
            <a:t>a) </a:t>
          </a:r>
          <a:r>
            <a:rPr lang="en-US" b="1">
              <a:effectLst/>
              <a:latin typeface="Times New Roman" panose="02020603050405020304" pitchFamily="18" charset="0"/>
              <a:cs typeface="Times New Roman" panose="02020603050405020304" pitchFamily="18" charset="0"/>
            </a:rPr>
            <a:t>Change in ROE</a:t>
          </a:r>
          <a:r>
            <a:rPr lang="en-US">
              <a:effectLst/>
              <a:latin typeface="Times New Roman" panose="02020603050405020304" pitchFamily="18" charset="0"/>
              <a:cs typeface="Times New Roman" panose="02020603050405020304" pitchFamily="18" charset="0"/>
            </a:rPr>
            <a:t>: </a:t>
          </a:r>
        </a:p>
        <a:p>
          <a:r>
            <a:rPr lang="en-US">
              <a:effectLst/>
              <a:latin typeface="Times New Roman" panose="02020603050405020304" pitchFamily="18" charset="0"/>
              <a:cs typeface="Times New Roman" panose="02020603050405020304" pitchFamily="18" charset="0"/>
            </a:rPr>
            <a:t>ROE increased from 36.2% (2023) to 39.5% (2024) but dropped to 24.4% (2025), a 15.1 percentage point decline from 2024.</a:t>
          </a:r>
        </a:p>
        <a:p>
          <a:endParaRPr lang="en-US">
            <a:effectLst/>
            <a:latin typeface="Times New Roman" panose="02020603050405020304" pitchFamily="18" charset="0"/>
            <a:cs typeface="Times New Roman" panose="02020603050405020304" pitchFamily="18" charset="0"/>
          </a:endParaRPr>
        </a:p>
        <a:p>
          <a:r>
            <a:rPr lang="en-US">
              <a:effectLst/>
              <a:latin typeface="Times New Roman" panose="02020603050405020304" pitchFamily="18" charset="0"/>
              <a:cs typeface="Times New Roman" panose="02020603050405020304" pitchFamily="18" charset="0"/>
            </a:rPr>
            <a:t>b) </a:t>
          </a:r>
          <a:r>
            <a:rPr lang="en-US" b="1">
              <a:effectLst/>
              <a:latin typeface="Times New Roman" panose="02020603050405020304" pitchFamily="18" charset="0"/>
              <a:cs typeface="Times New Roman" panose="02020603050405020304" pitchFamily="18" charset="0"/>
            </a:rPr>
            <a:t>Reasons for ROE Change (DuPont Disaggregation)</a:t>
          </a:r>
          <a:r>
            <a:rPr lang="en-US">
              <a:effectLst/>
              <a:latin typeface="Times New Roman" panose="02020603050405020304" pitchFamily="18" charset="0"/>
              <a:cs typeface="Times New Roman" panose="02020603050405020304" pitchFamily="18" charset="0"/>
            </a:rPr>
            <a:t>: ROE = ROA × Equity Multiplier.</a:t>
          </a:r>
        </a:p>
        <a:p>
          <a:r>
            <a:rPr lang="en-US">
              <a:latin typeface="Times New Roman" panose="02020603050405020304" pitchFamily="18" charset="0"/>
              <a:cs typeface="Times New Roman" panose="02020603050405020304" pitchFamily="18" charset="0"/>
            </a:rPr>
            <a:t>The 2024–2025 ROE drop (39.5% to 24.4%) is driven by a sharp ROA decline (15.0% to 8.8%), reflecting lower net income ($5,700M to $3,219M).</a:t>
          </a:r>
        </a:p>
        <a:p>
          <a:r>
            <a:rPr lang="en-US">
              <a:latin typeface="Times New Roman" panose="02020603050405020304" pitchFamily="18" charset="0"/>
              <a:cs typeface="Times New Roman" panose="02020603050405020304" pitchFamily="18" charset="0"/>
            </a:rPr>
            <a:t>A slight increase in leverage (2.64 to 2.77) mitigated the fall. No significant noncontrolling interest impact, as net income is fully attributable to NIKE.</a:t>
          </a:r>
        </a:p>
        <a:p>
          <a:endParaRPr lang="en-US">
            <a:latin typeface="Times New Roman" panose="02020603050405020304" pitchFamily="18" charset="0"/>
            <a:cs typeface="Times New Roman" panose="02020603050405020304" pitchFamily="18" charset="0"/>
          </a:endParaRPr>
        </a:p>
        <a:p>
          <a:r>
            <a:rPr lang="en-US">
              <a:effectLst/>
              <a:latin typeface="Times New Roman" panose="02020603050405020304" pitchFamily="18" charset="0"/>
              <a:cs typeface="Times New Roman" panose="02020603050405020304" pitchFamily="18" charset="0"/>
            </a:rPr>
            <a:t>c) </a:t>
          </a:r>
          <a:r>
            <a:rPr lang="en-US" b="1">
              <a:effectLst/>
              <a:latin typeface="Times New Roman" panose="02020603050405020304" pitchFamily="18" charset="0"/>
              <a:cs typeface="Times New Roman" panose="02020603050405020304" pitchFamily="18" charset="0"/>
            </a:rPr>
            <a:t>Decomposition Insights</a:t>
          </a:r>
          <a:r>
            <a:rPr lang="en-US">
              <a:effectLst/>
              <a:latin typeface="Times New Roman" panose="02020603050405020304" pitchFamily="18" charset="0"/>
              <a:cs typeface="Times New Roman" panose="02020603050405020304" pitchFamily="18" charset="0"/>
            </a:rPr>
            <a:t>: </a:t>
          </a:r>
        </a:p>
        <a:p>
          <a:r>
            <a:rPr lang="en-US">
              <a:effectLst/>
              <a:latin typeface="Times New Roman" panose="02020603050405020304" pitchFamily="18" charset="0"/>
              <a:cs typeface="Times New Roman" panose="02020603050405020304" pitchFamily="18" charset="0"/>
            </a:rPr>
            <a:t>ROE fell 15.1 points due to weaker ROA (lower profitability). Increased leverage (2.77) partially offset this but signals higher financial risk if profitability remains low.</a:t>
          </a:r>
        </a:p>
        <a:p>
          <a:r>
            <a:rPr lang="en-US">
              <a:effectLst/>
              <a:latin typeface="Times New Roman" panose="02020603050405020304" pitchFamily="18" charset="0"/>
              <a:cs typeface="Times New Roman" panose="02020603050405020304" pitchFamily="18" charset="0"/>
            </a:rPr>
            <a:t>ROE rose from 2023 → 2024 mainly because NIKE earned higher profits (ROA).</a:t>
          </a:r>
        </a:p>
        <a:p>
          <a:r>
            <a:rPr lang="en-US">
              <a:effectLst/>
              <a:latin typeface="Times New Roman" panose="02020603050405020304" pitchFamily="18" charset="0"/>
              <a:cs typeface="Times New Roman" panose="02020603050405020304" pitchFamily="18" charset="0"/>
            </a:rPr>
            <a:t>ROE fell in 2025 because profitability collapsed (ROA down), even though leverage slightly increased.</a:t>
          </a:r>
        </a:p>
        <a:p>
          <a:endParaRPr lang="en-US">
            <a:effectLst/>
            <a:latin typeface="Times New Roman" panose="02020603050405020304" pitchFamily="18" charset="0"/>
            <a:cs typeface="Times New Roman" panose="02020603050405020304" pitchFamily="18" charset="0"/>
          </a:endParaRPr>
        </a:p>
        <a:p>
          <a:endParaRPr lang="en-US">
            <a:effectLst/>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xdr:col>
      <xdr:colOff>11430</xdr:colOff>
      <xdr:row>49</xdr:row>
      <xdr:rowOff>133350</xdr:rowOff>
    </xdr:from>
    <xdr:to>
      <xdr:col>10</xdr:col>
      <xdr:colOff>129540</xdr:colOff>
      <xdr:row>63</xdr:row>
      <xdr:rowOff>19050</xdr:rowOff>
    </xdr:to>
    <xdr:sp macro="" textlink="">
      <xdr:nvSpPr>
        <xdr:cNvPr id="4" name="TextBox 3">
          <a:extLst>
            <a:ext uri="{FF2B5EF4-FFF2-40B4-BE49-F238E27FC236}">
              <a16:creationId xmlns:a16="http://schemas.microsoft.com/office/drawing/2014/main" id="{60554BE1-34BA-37AE-BAAC-5C330B704931}"/>
            </a:ext>
          </a:extLst>
        </xdr:cNvPr>
        <xdr:cNvSpPr txBox="1"/>
      </xdr:nvSpPr>
      <xdr:spPr>
        <a:xfrm>
          <a:off x="621030" y="10877550"/>
          <a:ext cx="9043035" cy="2419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latin typeface="Times New Roman" panose="02020603050405020304" pitchFamily="18" charset="0"/>
              <a:cs typeface="Times New Roman" panose="02020603050405020304" pitchFamily="18" charset="0"/>
            </a:rPr>
            <a:t>Sustainable Growth Rates (2025)</a:t>
          </a:r>
        </a:p>
        <a:p>
          <a:r>
            <a:rPr lang="en-US">
              <a:effectLst/>
              <a:latin typeface="Times New Roman" panose="02020603050405020304" pitchFamily="18" charset="0"/>
              <a:cs typeface="Times New Roman" panose="02020603050405020304" pitchFamily="18" charset="0"/>
            </a:rPr>
            <a:t>Retention Ratio (b) = 1 - (Dividends / Net Income) = 1 - (2,300 / 3,219) = 0.285.</a:t>
          </a:r>
        </a:p>
        <a:p>
          <a:endParaRPr lang="en-US">
            <a:effectLst/>
            <a:latin typeface="Times New Roman" panose="02020603050405020304" pitchFamily="18" charset="0"/>
            <a:cs typeface="Times New Roman" panose="02020603050405020304" pitchFamily="18" charset="0"/>
          </a:endParaRPr>
        </a:p>
        <a:p>
          <a:r>
            <a:rPr lang="en-US">
              <a:effectLst/>
              <a:latin typeface="Times New Roman" panose="02020603050405020304" pitchFamily="18" charset="0"/>
              <a:cs typeface="Times New Roman" panose="02020603050405020304" pitchFamily="18" charset="0"/>
            </a:rPr>
            <a:t>a) </a:t>
          </a:r>
          <a:r>
            <a:rPr lang="en-US" b="1">
              <a:effectLst/>
              <a:latin typeface="Times New Roman" panose="02020603050405020304" pitchFamily="18" charset="0"/>
              <a:cs typeface="Times New Roman" panose="02020603050405020304" pitchFamily="18" charset="0"/>
            </a:rPr>
            <a:t>Internal Growth Rate (No New Debt)</a:t>
          </a:r>
          <a:r>
            <a:rPr lang="en-US">
              <a:effectLst/>
              <a:latin typeface="Times New Roman" panose="02020603050405020304" pitchFamily="18" charset="0"/>
              <a:cs typeface="Times New Roman" panose="02020603050405020304" pitchFamily="18" charset="0"/>
            </a:rPr>
            <a:t>: </a:t>
          </a:r>
        </a:p>
        <a:p>
          <a:r>
            <a:rPr lang="en-US">
              <a:effectLst/>
              <a:latin typeface="Times New Roman" panose="02020603050405020304" pitchFamily="18" charset="0"/>
              <a:cs typeface="Times New Roman" panose="02020603050405020304" pitchFamily="18" charset="0"/>
            </a:rPr>
            <a:t>IGR = (ROA × b) / (1 - ROA × b) = (0.088 × 0.285) / (1 - 0.088 × 0.285) = 0.0251 / 0.9749 ≈ 2.6% </a:t>
          </a:r>
        </a:p>
        <a:p>
          <a:r>
            <a:rPr lang="en-US">
              <a:effectLst/>
              <a:latin typeface="Times New Roman" panose="02020603050405020304" pitchFamily="18" charset="0"/>
              <a:cs typeface="Times New Roman" panose="02020603050405020304" pitchFamily="18" charset="0"/>
            </a:rPr>
            <a:t>Max growth rate without issuing new debt or equity.</a:t>
          </a:r>
        </a:p>
        <a:p>
          <a:r>
            <a:rPr lang="en-US">
              <a:effectLst/>
              <a:latin typeface="Times New Roman" panose="02020603050405020304" pitchFamily="18" charset="0"/>
              <a:cs typeface="Times New Roman" panose="02020603050405020304" pitchFamily="18" charset="0"/>
            </a:rPr>
            <a:t>This modest rate reflects limited retained earnings, suitable for NIKE’s mature status but constraining growth without external funds.</a:t>
          </a:r>
        </a:p>
        <a:p>
          <a:endParaRPr lang="en-US">
            <a:effectLst/>
            <a:latin typeface="Times New Roman" panose="02020603050405020304" pitchFamily="18" charset="0"/>
            <a:cs typeface="Times New Roman" panose="02020603050405020304" pitchFamily="18" charset="0"/>
          </a:endParaRPr>
        </a:p>
        <a:p>
          <a:r>
            <a:rPr lang="en-US">
              <a:effectLst/>
              <a:latin typeface="Times New Roman" panose="02020603050405020304" pitchFamily="18" charset="0"/>
              <a:cs typeface="Times New Roman" panose="02020603050405020304" pitchFamily="18" charset="0"/>
            </a:rPr>
            <a:t>b) </a:t>
          </a:r>
          <a:r>
            <a:rPr lang="en-US" b="1">
              <a:effectLst/>
              <a:latin typeface="Times New Roman" panose="02020603050405020304" pitchFamily="18" charset="0"/>
              <a:cs typeface="Times New Roman" panose="02020603050405020304" pitchFamily="18" charset="0"/>
            </a:rPr>
            <a:t>Sustainable Growth Rate (No Capital Structure Change)</a:t>
          </a:r>
          <a:r>
            <a:rPr lang="en-US">
              <a:effectLst/>
              <a:latin typeface="Times New Roman" panose="02020603050405020304" pitchFamily="18" charset="0"/>
              <a:cs typeface="Times New Roman" panose="02020603050405020304" pitchFamily="18" charset="0"/>
            </a:rPr>
            <a:t>: </a:t>
          </a:r>
        </a:p>
        <a:p>
          <a:r>
            <a:rPr lang="en-US">
              <a:effectLst/>
              <a:latin typeface="Times New Roman" panose="02020603050405020304" pitchFamily="18" charset="0"/>
              <a:cs typeface="Times New Roman" panose="02020603050405020304" pitchFamily="18" charset="0"/>
            </a:rPr>
            <a:t>SGR = (ROE × b) / (1 - ROE × b) = (0.244 × 0.285) / (1 - 0.244 × 0.285) = 0.0695 / 0.9305 ≈ 7.5% </a:t>
          </a:r>
        </a:p>
        <a:p>
          <a:r>
            <a:rPr lang="en-US">
              <a:effectLst/>
              <a:latin typeface="Times New Roman" panose="02020603050405020304" pitchFamily="18" charset="0"/>
              <a:cs typeface="Times New Roman" panose="02020603050405020304" pitchFamily="18" charset="0"/>
            </a:rPr>
            <a:t>Max growth rate without changing capital structure (firm can issue debt in proportion to equity).</a:t>
          </a:r>
        </a:p>
        <a:p>
          <a:r>
            <a:rPr lang="en-US">
              <a:effectLst/>
              <a:latin typeface="Times New Roman" panose="02020603050405020304" pitchFamily="18" charset="0"/>
              <a:cs typeface="Times New Roman" panose="02020603050405020304" pitchFamily="18" charset="0"/>
            </a:rPr>
            <a:t>This higher rate leverages existing debt-equity mix, supporting moderate growth while maintaining shareholder returns.</a:t>
          </a:r>
        </a:p>
        <a:p>
          <a:endParaRPr lang="en-US" sz="1100">
            <a:latin typeface="Times New Roman" panose="02020603050405020304" pitchFamily="18" charset="0"/>
            <a:cs typeface="Times New Roman" panose="02020603050405020304"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32DCA-8BF3-46AC-B893-448C00AF5297}">
  <dimension ref="B1:H18"/>
  <sheetViews>
    <sheetView tabSelected="1" workbookViewId="0">
      <selection activeCell="H18" sqref="B1:H18"/>
    </sheetView>
  </sheetViews>
  <sheetFormatPr defaultRowHeight="14.4" x14ac:dyDescent="0.3"/>
  <cols>
    <col min="2" max="2" width="27.77734375" style="6" bestFit="1" customWidth="1"/>
    <col min="3" max="3" width="15.88671875" customWidth="1"/>
    <col min="4" max="4" width="16.33203125" customWidth="1"/>
    <col min="5" max="5" width="12.88671875" customWidth="1"/>
    <col min="6" max="6" width="13.44140625" customWidth="1"/>
    <col min="7" max="7" width="12.109375" customWidth="1"/>
    <col min="8" max="8" width="13.88671875" customWidth="1"/>
  </cols>
  <sheetData>
    <row r="1" spans="2:8" ht="15" thickBot="1" x14ac:dyDescent="0.35">
      <c r="B1" s="3" t="s">
        <v>8</v>
      </c>
      <c r="D1" t="s">
        <v>9</v>
      </c>
    </row>
    <row r="2" spans="2:8" ht="15" thickBot="1" x14ac:dyDescent="0.35">
      <c r="B2" s="4" t="s">
        <v>0</v>
      </c>
      <c r="C2" s="2">
        <v>2023</v>
      </c>
      <c r="D2" s="2">
        <v>2024</v>
      </c>
      <c r="E2" s="2">
        <v>2025</v>
      </c>
    </row>
    <row r="3" spans="2:8" ht="15" thickBot="1" x14ac:dyDescent="0.35">
      <c r="B3" s="5" t="s">
        <v>1</v>
      </c>
      <c r="C3" s="1">
        <v>25202</v>
      </c>
      <c r="D3" s="1">
        <v>25382</v>
      </c>
      <c r="E3" s="1">
        <v>23362</v>
      </c>
    </row>
    <row r="4" spans="2:8" ht="15" thickBot="1" x14ac:dyDescent="0.35">
      <c r="B4" s="5" t="s">
        <v>2</v>
      </c>
      <c r="C4" s="1">
        <v>9256</v>
      </c>
      <c r="D4" s="1">
        <v>10593</v>
      </c>
      <c r="E4" s="1">
        <v>10566</v>
      </c>
    </row>
    <row r="5" spans="2:8" ht="15" thickBot="1" x14ac:dyDescent="0.35">
      <c r="B5" s="5" t="s">
        <v>3</v>
      </c>
      <c r="C5" s="1">
        <v>7441</v>
      </c>
      <c r="D5" s="1">
        <v>9860</v>
      </c>
      <c r="E5" s="1">
        <v>7464</v>
      </c>
    </row>
    <row r="6" spans="2:8" ht="15" thickBot="1" x14ac:dyDescent="0.35">
      <c r="B6" s="5" t="s">
        <v>4</v>
      </c>
      <c r="C6" s="1">
        <v>8454</v>
      </c>
      <c r="D6" s="1">
        <v>7519</v>
      </c>
      <c r="E6" s="1">
        <v>7489</v>
      </c>
    </row>
    <row r="7" spans="2:8" ht="15" thickBot="1" x14ac:dyDescent="0.35">
      <c r="B7" s="5" t="s">
        <v>5</v>
      </c>
      <c r="C7" s="1">
        <v>37531</v>
      </c>
      <c r="D7" s="1">
        <v>38110</v>
      </c>
      <c r="E7" s="1">
        <v>36579</v>
      </c>
    </row>
    <row r="8" spans="2:8" ht="15" thickBot="1" x14ac:dyDescent="0.35">
      <c r="B8" s="5" t="s">
        <v>6</v>
      </c>
      <c r="C8" s="1">
        <v>14004</v>
      </c>
      <c r="D8" s="1">
        <v>14430</v>
      </c>
      <c r="E8" s="1">
        <v>13213</v>
      </c>
    </row>
    <row r="9" spans="2:8" ht="15" thickBot="1" x14ac:dyDescent="0.35">
      <c r="B9" s="5" t="s">
        <v>7</v>
      </c>
      <c r="C9" s="1">
        <v>5070</v>
      </c>
      <c r="D9" s="1">
        <v>5700</v>
      </c>
      <c r="E9" s="1">
        <v>3219</v>
      </c>
    </row>
    <row r="12" spans="2:8" ht="15" thickBot="1" x14ac:dyDescent="0.35"/>
    <row r="13" spans="2:8" ht="41.4" x14ac:dyDescent="0.3">
      <c r="B13" s="12" t="s">
        <v>10</v>
      </c>
      <c r="C13" s="14" t="s">
        <v>11</v>
      </c>
      <c r="D13" s="14" t="s">
        <v>12</v>
      </c>
      <c r="E13" s="14" t="s">
        <v>13</v>
      </c>
      <c r="F13" s="14" t="s">
        <v>14</v>
      </c>
      <c r="G13" s="14" t="s">
        <v>15</v>
      </c>
      <c r="H13" s="8" t="s">
        <v>16</v>
      </c>
    </row>
    <row r="14" spans="2:8" ht="28.2" thickBot="1" x14ac:dyDescent="0.35">
      <c r="B14" s="13"/>
      <c r="C14" s="15"/>
      <c r="D14" s="15"/>
      <c r="E14" s="15"/>
      <c r="F14" s="15"/>
      <c r="G14" s="15"/>
      <c r="H14" s="10" t="s">
        <v>17</v>
      </c>
    </row>
    <row r="15" spans="2:8" ht="111" thickBot="1" x14ac:dyDescent="0.35">
      <c r="B15" s="9" t="s">
        <v>18</v>
      </c>
      <c r="C15" s="7" t="s">
        <v>20</v>
      </c>
      <c r="D15" s="7" t="s">
        <v>19</v>
      </c>
      <c r="E15" s="7" t="s">
        <v>21</v>
      </c>
      <c r="F15" s="7" t="s">
        <v>22</v>
      </c>
      <c r="G15" s="7" t="s">
        <v>23</v>
      </c>
      <c r="H15" s="7" t="s">
        <v>24</v>
      </c>
    </row>
    <row r="16" spans="2:8" ht="15" thickBot="1" x14ac:dyDescent="0.35">
      <c r="B16" s="9">
        <v>2023</v>
      </c>
      <c r="C16" s="11">
        <f>C3/C4</f>
        <v>2.7227744165946413</v>
      </c>
      <c r="D16" s="11">
        <f>(C3-C6)/C4</f>
        <v>1.8094209161624892</v>
      </c>
      <c r="E16" s="11">
        <f>C5/C4</f>
        <v>0.80391097666378564</v>
      </c>
      <c r="F16" s="11">
        <f>C9/C8</f>
        <v>0.36203941730934019</v>
      </c>
      <c r="G16" s="11">
        <f>C9/C7</f>
        <v>0.13508832698302736</v>
      </c>
      <c r="H16" s="11">
        <f>C7/C8</f>
        <v>2.6800199942873464</v>
      </c>
    </row>
    <row r="17" spans="2:8" ht="15" thickBot="1" x14ac:dyDescent="0.35">
      <c r="B17" s="9">
        <v>2024</v>
      </c>
      <c r="C17" s="11">
        <f>D3/D4</f>
        <v>2.3961106391012934</v>
      </c>
      <c r="D17" s="11">
        <f>(D3-D6)/D4</f>
        <v>1.6863022750873218</v>
      </c>
      <c r="E17" s="11">
        <f>D5/D4</f>
        <v>0.93080336070990277</v>
      </c>
      <c r="F17" s="11">
        <f>D9/D8</f>
        <v>0.39501039501039503</v>
      </c>
      <c r="G17" s="11">
        <f>D9/D7</f>
        <v>0.14956704277092628</v>
      </c>
      <c r="H17" s="11">
        <f>D7/D8</f>
        <v>2.641025641025641</v>
      </c>
    </row>
    <row r="18" spans="2:8" ht="15" thickBot="1" x14ac:dyDescent="0.35">
      <c r="B18" s="9">
        <v>2025</v>
      </c>
      <c r="C18" s="11">
        <f>E3/E4</f>
        <v>2.2110543251940187</v>
      </c>
      <c r="D18" s="11">
        <f>(E3-E6)/E4</f>
        <v>1.5022714366837024</v>
      </c>
      <c r="E18" s="11">
        <f>E5/E4</f>
        <v>0.70641680863145939</v>
      </c>
      <c r="F18" s="11">
        <f>E9/E8</f>
        <v>0.24362370392794974</v>
      </c>
      <c r="G18" s="11">
        <f>E9/E7</f>
        <v>8.800131222832773E-2</v>
      </c>
      <c r="H18" s="11">
        <f>E7/E8</f>
        <v>2.7684098993415573</v>
      </c>
    </row>
  </sheetData>
  <mergeCells count="6">
    <mergeCell ref="G13:G14"/>
    <mergeCell ref="B13:B14"/>
    <mergeCell ref="C13:C14"/>
    <mergeCell ref="D13:D14"/>
    <mergeCell ref="E13:E14"/>
    <mergeCell ref="F13:F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Mutungi, Vincent</dc:creator>
  <cp:lastModifiedBy>Mutungi, Vincent</cp:lastModifiedBy>
  <dcterms:created xsi:type="dcterms:W3CDTF">2025-09-30T19:45:40Z</dcterms:created>
  <dcterms:modified xsi:type="dcterms:W3CDTF">2025-10-13T02:42:43Z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b311d3-aea9-4488-bc88-99739ecc7603_Enabled">
    <vt:lpwstr>true</vt:lpwstr>
  </property>
  <property fmtid="{D5CDD505-2E9C-101B-9397-08002B2CF9AE}" pid="3" name="MSIP_Label_8cb311d3-aea9-4488-bc88-99739ecc7603_SetDate">
    <vt:lpwstr>2025-10-01T03:31:59Z</vt:lpwstr>
  </property>
  <property fmtid="{D5CDD505-2E9C-101B-9397-08002B2CF9AE}" pid="4" name="MSIP_Label_8cb311d3-aea9-4488-bc88-99739ecc7603_Method">
    <vt:lpwstr>Standard</vt:lpwstr>
  </property>
  <property fmtid="{D5CDD505-2E9C-101B-9397-08002B2CF9AE}" pid="5" name="MSIP_Label_8cb311d3-aea9-4488-bc88-99739ecc7603_Name">
    <vt:lpwstr>Internal - University</vt:lpwstr>
  </property>
  <property fmtid="{D5CDD505-2E9C-101B-9397-08002B2CF9AE}" pid="6" name="MSIP_Label_8cb311d3-aea9-4488-bc88-99739ecc7603_SiteId">
    <vt:lpwstr>9c36a7d0-bf7b-4991-9b78-be91a52f0226</vt:lpwstr>
  </property>
  <property fmtid="{D5CDD505-2E9C-101B-9397-08002B2CF9AE}" pid="7" name="MSIP_Label_8cb311d3-aea9-4488-bc88-99739ecc7603_ActionId">
    <vt:lpwstr>5cbeb3f9-cca9-45fe-9bda-9d69e76e83e4</vt:lpwstr>
  </property>
  <property fmtid="{D5CDD505-2E9C-101B-9397-08002B2CF9AE}" pid="8" name="MSIP_Label_8cb311d3-aea9-4488-bc88-99739ecc7603_ContentBits">
    <vt:lpwstr>0</vt:lpwstr>
  </property>
  <property fmtid="{D5CDD505-2E9C-101B-9397-08002B2CF9AE}" pid="9" name="MSIP_Label_8cb311d3-aea9-4488-bc88-99739ecc7603_Tag">
    <vt:lpwstr>10, 3, 0, 1</vt:lpwstr>
  </property>
</Properties>
</file>