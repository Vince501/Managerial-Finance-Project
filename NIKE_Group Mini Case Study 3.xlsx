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yotesusd-my.sharepoint.com/personal/vincent_mutungi_coyotes_usd_edu/Documents/2025 Fall - Managerial Finance/Assignment/"/>
    </mc:Choice>
  </mc:AlternateContent>
  <xr:revisionPtr revIDLastSave="135" documentId="8_{EE92210E-4340-4A80-BDDC-84B36F86884C}" xr6:coauthVersionLast="47" xr6:coauthVersionMax="47" xr10:uidLastSave="{725832AC-5479-4172-BABA-1EC8BAF76DB7}"/>
  <bookViews>
    <workbookView xWindow="870" yWindow="3090" windowWidth="17280" windowHeight="8880" xr2:uid="{22147A11-8CB3-4554-850D-2DBBE0FAB8A3}"/>
  </bookViews>
  <sheets>
    <sheet name="Sheet 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I50" i="1"/>
  <c r="B52" i="1"/>
  <c r="B54" i="1"/>
  <c r="E67" i="1"/>
  <c r="I49" i="1"/>
  <c r="C51" i="1"/>
  <c r="B53" i="1"/>
  <c r="H48" i="1" l="1"/>
  <c r="J4" i="1"/>
  <c r="F4" i="1"/>
  <c r="H47" i="1"/>
  <c r="C46" i="1" l="1"/>
  <c r="H46" i="1"/>
  <c r="H44" i="1" a="1"/>
  <c r="H44" i="1" s="1"/>
  <c r="I4" i="1"/>
  <c r="H42" i="1" s="1"/>
  <c r="I5" i="1"/>
  <c r="B50" i="1" s="1"/>
  <c r="E65" i="1" s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H50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4" i="1"/>
  <c r="B46" i="1" s="1" a="1"/>
  <c r="B46" i="1" s="1"/>
  <c r="H41" i="1"/>
  <c r="E64" i="1"/>
  <c r="B45" i="1"/>
  <c r="B47" i="1"/>
  <c r="B49" i="1"/>
  <c r="H43" i="1"/>
  <c r="H49" i="1"/>
  <c r="B43" i="1"/>
  <c r="E58" i="1"/>
  <c r="E62" i="1"/>
  <c r="E66" i="1"/>
  <c r="E60" i="1"/>
  <c r="B51" i="1"/>
  <c r="H45" i="1"/>
  <c r="B41" i="1"/>
  <c r="C45" i="1"/>
  <c r="E61" i="1" l="1"/>
  <c r="B48" i="1"/>
  <c r="E63" i="1" s="1"/>
  <c r="B44" i="1" a="1"/>
  <c r="B44" i="1" s="1"/>
  <c r="B42" i="1"/>
  <c r="E5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<sst xmlns="http://schemas.openxmlformats.org/spreadsheetml/2006/main" count="72" uniqueCount="66">
  <si>
    <t>Dates</t>
  </si>
  <si>
    <t>Last Price (PX_LAST)</t>
  </si>
  <si>
    <t>Official Closing Price (PX_OFFICIAL_CLOSE)</t>
  </si>
  <si>
    <t>Dividends Per Share</t>
  </si>
  <si>
    <t>Monthly Return (Rt)</t>
  </si>
  <si>
    <t>Arithmetic Average Return</t>
  </si>
  <si>
    <t>Geometric Average Return</t>
  </si>
  <si>
    <t>Holding Period Return</t>
  </si>
  <si>
    <t>Total risk (Standard deviation)</t>
  </si>
  <si>
    <t>Date</t>
  </si>
  <si>
    <t>Total Return</t>
  </si>
  <si>
    <t>S&amp;P 500</t>
  </si>
  <si>
    <t>NKE US Equity</t>
  </si>
  <si>
    <t>Reward-to-Risk Ratio</t>
  </si>
  <si>
    <t>Risk-Free Rate</t>
  </si>
  <si>
    <t>As at 4/30/2025</t>
  </si>
  <si>
    <t>Standard Deviation</t>
  </si>
  <si>
    <t>Portfolio Return</t>
  </si>
  <si>
    <t>Correlation btwn NIKE and Market</t>
  </si>
  <si>
    <t>Portfolio Total Risk (Standard Deviation)</t>
  </si>
  <si>
    <t>Portfolio Systematic Risk (Beta)</t>
  </si>
  <si>
    <t>Portfolio Expected Return (using CAPM)</t>
  </si>
  <si>
    <t>Month</t>
  </si>
  <si>
    <t>Avg Daily Yield (%)</t>
  </si>
  <si>
    <t>Monthly Rf (Exact)</t>
  </si>
  <si>
    <t>Approx (÷12)</t>
  </si>
  <si>
    <t>2022-05</t>
  </si>
  <si>
    <r>
      <t>0.000847</t>
    </r>
    <r>
      <rPr>
        <sz val="11"/>
        <color theme="1"/>
        <rFont val="Aptos Narrow"/>
        <family val="2"/>
        <scheme val="minor"/>
      </rPr>
      <t xml:space="preserve"> (0.0847%)</t>
    </r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</si>
  <si>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</si>
  <si>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</si>
  <si>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</si>
  <si>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</si>
  <si>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</si>
  <si>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</si>
  <si>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</si>
  <si>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</si>
  <si>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</si>
  <si>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</si>
  <si>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</si>
  <si>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</si>
  <si>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</si>
  <si>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</si>
  <si>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</si>
  <si>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</si>
  <si>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</si>
  <si>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</si>
  <si>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</si>
  <si>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</si>
  <si>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</si>
  <si>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</si>
  <si>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</si>
  <si>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</si>
  <si>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</si>
  <si>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</si>
  <si>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</si>
  <si>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</si>
  <si>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</si>
  <si>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</si>
  <si>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</si>
  <si>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</si>
  <si>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</si>
  <si>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</si>
  <si>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</si>
  <si>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Systematic risk (Beta) NKE</t>
  </si>
  <si>
    <t>NIKE</t>
  </si>
  <si>
    <t>CAPM Expected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</si>
</sst>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0" fontId="1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wrapText="1"/>
    </xf>
    <xf numFmtId="1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4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8ADA-CB6C-4D37-B409-AEB0521BB84F}">
  <dimension ref="A1:J67"/>
  <sheetViews>
    <sheetView tabSelected="1" topLeftCell="A34" zoomScale="83" zoomScaleNormal="90" workbookViewId="0">
      <selection activeCell="B58" sqref="B58"/>
    </sheetView>
  </sheetViews>
  <sheetFormatPr defaultRowHeight="14.4" x14ac:dyDescent="0.3"/>
  <cols>
    <col min="1" max="1" width="26.6640625" bestFit="1" customWidth="1"/>
    <col min="2" max="2" width="40.44140625" bestFit="1" customWidth="1"/>
    <col min="3" max="3" width="25.5546875" bestFit="1" customWidth="1"/>
    <col min="4" max="4" width="15.88671875" customWidth="1"/>
    <col min="5" max="5" width="12.88671875" style="7" customWidth="1"/>
    <col min="6" max="6" width="18" customWidth="1"/>
    <col min="7" max="7" width="30.33203125" bestFit="1" customWidth="1"/>
    <col min="8" max="8" width="39" bestFit="1" customWidth="1"/>
    <col min="9" max="9" width="16.109375" customWidth="1"/>
    <col min="10" max="10" width="17" customWidth="1"/>
  </cols>
  <sheetData>
    <row r="1" spans="1:10" x14ac:dyDescent="0.3">
      <c r="A1" s="2" t="s">
        <v>12</v>
      </c>
      <c r="G1" s="2" t="s">
        <v>11</v>
      </c>
    </row>
    <row r="2" spans="1:10" s="8" customFormat="1" ht="57.6" x14ac:dyDescent="0.3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G2" s="3" t="s">
        <v>9</v>
      </c>
      <c r="H2" s="5" t="s">
        <v>10</v>
      </c>
      <c r="I2" s="4" t="s">
        <v>4</v>
      </c>
    </row>
    <row r="3" spans="1:10" x14ac:dyDescent="0.3">
      <c r="A3" s="9">
        <v>44712</v>
      </c>
      <c r="B3" s="10">
        <v>118.85</v>
      </c>
      <c r="C3" s="10">
        <v>118.85</v>
      </c>
      <c r="D3" s="10">
        <v>0</v>
      </c>
      <c r="G3" s="9">
        <v>44712</v>
      </c>
      <c r="H3" s="11">
        <v>8712.6</v>
      </c>
    </row>
    <row r="4" spans="1:10" x14ac:dyDescent="0.3">
      <c r="A4" s="9">
        <v>44742</v>
      </c>
      <c r="B4" s="10">
        <v>102.2</v>
      </c>
      <c r="C4" s="10">
        <v>102.2</v>
      </c>
      <c r="D4" s="10">
        <v>0.31</v>
      </c>
      <c r="E4" s="7">
        <f>(C4-C3+D4)/C3</f>
        <v>-0.13748422381152708</v>
      </c>
      <c r="F4" t="str">
        <f ca="1">_xlfn.FORMULATEXT(E4)</f>
        <v>=(C4-C3+D4)/C3</v>
      </c>
      <c r="G4" s="9">
        <v>44742</v>
      </c>
      <c r="H4" s="11">
        <v>7993.43</v>
      </c>
      <c r="I4" s="7">
        <f t="shared" ref="I4:I38" si="0">(H4-H3)/H3</f>
        <v>-8.2543672382526467E-2</v>
      </c>
      <c r="J4" t="str">
        <f ca="1">_xlfn.FORMULATEXT(I4)</f>
        <v>=(H4-H3)/H3</v>
      </c>
    </row>
    <row r="5" spans="1:10" x14ac:dyDescent="0.3">
      <c r="A5" s="9">
        <v>44771</v>
      </c>
      <c r="B5" s="10">
        <v>114.92</v>
      </c>
      <c r="C5" s="10">
        <v>114.92</v>
      </c>
      <c r="D5" s="10">
        <v>0</v>
      </c>
      <c r="E5" s="7">
        <f t="shared" ref="E5:E38" si="1">(C5-C4+D5)/C4</f>
        <v>0.12446183953033267</v>
      </c>
      <c r="G5" s="9">
        <v>44771</v>
      </c>
      <c r="H5" s="11">
        <v>8730.4599999999991</v>
      </c>
      <c r="I5" s="7">
        <f t="shared" si="0"/>
        <v>9.2204472923388181E-2</v>
      </c>
    </row>
    <row r="6" spans="1:10" x14ac:dyDescent="0.3">
      <c r="A6" s="9">
        <v>44804</v>
      </c>
      <c r="B6" s="10">
        <v>106.45</v>
      </c>
      <c r="C6" s="10">
        <v>106.45</v>
      </c>
      <c r="D6" s="10">
        <v>0</v>
      </c>
      <c r="E6" s="7">
        <f t="shared" si="1"/>
        <v>-7.3703445875391571E-2</v>
      </c>
      <c r="G6" s="9">
        <v>44804</v>
      </c>
      <c r="H6" s="11">
        <v>8374.42</v>
      </c>
      <c r="I6" s="7">
        <f t="shared" si="0"/>
        <v>-4.0781356308831278E-2</v>
      </c>
    </row>
    <row r="7" spans="1:10" x14ac:dyDescent="0.3">
      <c r="A7" s="9">
        <v>44834</v>
      </c>
      <c r="B7" s="10">
        <v>83.12</v>
      </c>
      <c r="C7" s="10">
        <v>83.12</v>
      </c>
      <c r="D7" s="10">
        <v>0.31</v>
      </c>
      <c r="E7" s="7">
        <f t="shared" si="1"/>
        <v>-0.21625176139032409</v>
      </c>
      <c r="G7" s="9">
        <v>44834</v>
      </c>
      <c r="H7" s="11">
        <v>7603.14</v>
      </c>
      <c r="I7" s="7">
        <f t="shared" si="0"/>
        <v>-9.2099512563258087E-2</v>
      </c>
    </row>
    <row r="8" spans="1:10" x14ac:dyDescent="0.3">
      <c r="A8" s="9">
        <v>44865</v>
      </c>
      <c r="B8" s="10">
        <v>92.68</v>
      </c>
      <c r="C8" s="10">
        <v>92.68</v>
      </c>
      <c r="D8" s="10">
        <v>0</v>
      </c>
      <c r="E8" s="7">
        <f t="shared" si="1"/>
        <v>0.11501443695861407</v>
      </c>
      <c r="G8" s="9">
        <v>44865</v>
      </c>
      <c r="H8" s="11">
        <v>8218.7000000000007</v>
      </c>
      <c r="I8" s="7">
        <f t="shared" si="0"/>
        <v>8.0961287047193714E-2</v>
      </c>
    </row>
    <row r="9" spans="1:10" x14ac:dyDescent="0.3">
      <c r="A9" s="9">
        <v>44895</v>
      </c>
      <c r="B9" s="10">
        <v>109.69</v>
      </c>
      <c r="C9" s="10">
        <v>109.69</v>
      </c>
      <c r="D9" s="10">
        <v>0</v>
      </c>
      <c r="E9" s="7">
        <f t="shared" si="1"/>
        <v>0.18353474320241681</v>
      </c>
      <c r="G9" s="9">
        <v>44895</v>
      </c>
      <c r="H9" s="11">
        <v>8678</v>
      </c>
      <c r="I9" s="7">
        <f t="shared" si="0"/>
        <v>5.5884750629661535E-2</v>
      </c>
    </row>
    <row r="10" spans="1:10" x14ac:dyDescent="0.3">
      <c r="A10" s="9">
        <v>44925</v>
      </c>
      <c r="B10" s="10">
        <v>117.01</v>
      </c>
      <c r="C10" s="10">
        <v>117.01</v>
      </c>
      <c r="D10" s="10">
        <v>0.34</v>
      </c>
      <c r="E10" s="7">
        <f t="shared" si="1"/>
        <v>6.9833166195642338E-2</v>
      </c>
      <c r="G10" s="9">
        <v>44925</v>
      </c>
      <c r="H10" s="11">
        <v>8178.02</v>
      </c>
      <c r="I10" s="7">
        <f t="shared" si="0"/>
        <v>-5.761465775524309E-2</v>
      </c>
    </row>
    <row r="11" spans="1:10" x14ac:dyDescent="0.3">
      <c r="A11" s="9">
        <v>44957</v>
      </c>
      <c r="B11" s="10">
        <v>127.33</v>
      </c>
      <c r="C11" s="10">
        <v>127.33</v>
      </c>
      <c r="D11" s="10">
        <v>0</v>
      </c>
      <c r="E11" s="7">
        <f t="shared" si="1"/>
        <v>8.8197589949576896E-2</v>
      </c>
      <c r="G11" s="9">
        <v>44957</v>
      </c>
      <c r="H11" s="12">
        <v>8691.8799999999992</v>
      </c>
      <c r="I11" s="7">
        <f t="shared" si="0"/>
        <v>6.2834280180287985E-2</v>
      </c>
    </row>
    <row r="12" spans="1:10" x14ac:dyDescent="0.3">
      <c r="A12" s="9">
        <v>44985</v>
      </c>
      <c r="B12" s="10">
        <v>118.79</v>
      </c>
      <c r="C12" s="10">
        <v>118.79</v>
      </c>
      <c r="D12" s="10">
        <v>0</v>
      </c>
      <c r="E12" s="7">
        <f t="shared" si="1"/>
        <v>-6.7069818581638199E-2</v>
      </c>
      <c r="G12" s="9">
        <v>44985</v>
      </c>
      <c r="H12" s="13">
        <v>8479.7999999999993</v>
      </c>
      <c r="I12" s="7">
        <f t="shared" si="0"/>
        <v>-2.4399784626571001E-2</v>
      </c>
    </row>
    <row r="13" spans="1:10" x14ac:dyDescent="0.3">
      <c r="A13" s="9">
        <v>45016</v>
      </c>
      <c r="B13" s="10">
        <v>122.64</v>
      </c>
      <c r="C13" s="10">
        <v>122.64</v>
      </c>
      <c r="D13" s="10">
        <v>0.34</v>
      </c>
      <c r="E13" s="7">
        <f t="shared" si="1"/>
        <v>3.5272329320649838E-2</v>
      </c>
      <c r="G13" s="9">
        <v>45016</v>
      </c>
      <c r="H13" s="13">
        <v>8791.1299999999992</v>
      </c>
      <c r="I13" s="7">
        <f t="shared" si="0"/>
        <v>3.671430929974763E-2</v>
      </c>
    </row>
    <row r="14" spans="1:10" x14ac:dyDescent="0.3">
      <c r="A14" s="9">
        <v>45044</v>
      </c>
      <c r="B14" s="10">
        <v>126.72</v>
      </c>
      <c r="C14" s="10">
        <v>126.72</v>
      </c>
      <c r="D14" s="10">
        <v>0</v>
      </c>
      <c r="E14" s="7">
        <f t="shared" si="1"/>
        <v>3.326810176125243E-2</v>
      </c>
      <c r="G14" s="9">
        <v>45044</v>
      </c>
      <c r="H14" s="11">
        <v>8928.35</v>
      </c>
      <c r="I14" s="7">
        <f t="shared" si="0"/>
        <v>1.560891489489988E-2</v>
      </c>
    </row>
    <row r="15" spans="1:10" x14ac:dyDescent="0.3">
      <c r="A15" s="9">
        <v>45077</v>
      </c>
      <c r="B15" s="10">
        <v>105.26</v>
      </c>
      <c r="C15" s="10">
        <v>105.26</v>
      </c>
      <c r="D15" s="10">
        <v>0</v>
      </c>
      <c r="E15" s="7">
        <f t="shared" si="1"/>
        <v>-0.16934974747474743</v>
      </c>
      <c r="G15" s="14">
        <v>45077</v>
      </c>
      <c r="H15" s="13">
        <v>8967.16</v>
      </c>
      <c r="I15" s="7">
        <f t="shared" si="0"/>
        <v>4.3468278013294162E-3</v>
      </c>
    </row>
    <row r="16" spans="1:10" x14ac:dyDescent="0.3">
      <c r="A16" s="9">
        <v>45107</v>
      </c>
      <c r="B16" s="10">
        <v>110.37</v>
      </c>
      <c r="C16" s="10">
        <v>110.37</v>
      </c>
      <c r="D16" s="10">
        <v>0.34</v>
      </c>
      <c r="E16" s="7">
        <f t="shared" si="1"/>
        <v>5.1776553296598887E-2</v>
      </c>
      <c r="G16" s="14">
        <v>45107</v>
      </c>
      <c r="H16" s="13">
        <v>9559.67</v>
      </c>
      <c r="I16" s="7">
        <f t="shared" si="0"/>
        <v>6.6075546772891333E-2</v>
      </c>
    </row>
    <row r="17" spans="1:9" x14ac:dyDescent="0.3">
      <c r="A17" s="9">
        <v>45138</v>
      </c>
      <c r="B17" s="10">
        <v>110.39</v>
      </c>
      <c r="C17" s="10">
        <v>110.39</v>
      </c>
      <c r="D17" s="10">
        <v>0</v>
      </c>
      <c r="E17" s="7">
        <f t="shared" si="1"/>
        <v>1.8120866177399674E-4</v>
      </c>
      <c r="G17" s="14">
        <v>45138</v>
      </c>
      <c r="H17" s="13">
        <v>9866.77</v>
      </c>
      <c r="I17" s="7">
        <f t="shared" si="0"/>
        <v>3.2124539863823791E-2</v>
      </c>
    </row>
    <row r="18" spans="1:9" x14ac:dyDescent="0.3">
      <c r="A18" s="9">
        <v>45169</v>
      </c>
      <c r="B18" s="10">
        <v>101.71</v>
      </c>
      <c r="C18" s="10">
        <v>101.71</v>
      </c>
      <c r="D18" s="10">
        <v>0</v>
      </c>
      <c r="E18" s="7">
        <f t="shared" si="1"/>
        <v>-7.8630310716550467E-2</v>
      </c>
      <c r="G18" s="14">
        <v>45169</v>
      </c>
      <c r="H18" s="13">
        <v>9709.68</v>
      </c>
      <c r="I18" s="7">
        <f t="shared" si="0"/>
        <v>-1.5921117042355312E-2</v>
      </c>
    </row>
    <row r="19" spans="1:9" x14ac:dyDescent="0.3">
      <c r="A19" s="9">
        <v>45198</v>
      </c>
      <c r="B19" s="10">
        <v>95.62</v>
      </c>
      <c r="C19" s="10">
        <v>95.62</v>
      </c>
      <c r="D19" s="10">
        <v>0.34</v>
      </c>
      <c r="E19" s="7">
        <f t="shared" si="1"/>
        <v>-5.6533280896666892E-2</v>
      </c>
      <c r="G19" s="14">
        <v>45198</v>
      </c>
      <c r="H19" s="13">
        <v>9246.74</v>
      </c>
      <c r="I19" s="7">
        <f t="shared" si="0"/>
        <v>-4.7678193308121432E-2</v>
      </c>
    </row>
    <row r="20" spans="1:9" x14ac:dyDescent="0.3">
      <c r="A20" s="9">
        <v>45230</v>
      </c>
      <c r="B20" s="10">
        <v>102.77</v>
      </c>
      <c r="C20" s="10">
        <v>102.77</v>
      </c>
      <c r="D20" s="10">
        <v>0</v>
      </c>
      <c r="E20" s="7">
        <f t="shared" si="1"/>
        <v>7.4775151641915824E-2</v>
      </c>
      <c r="G20" s="14">
        <v>45230</v>
      </c>
      <c r="H20" s="13">
        <v>9052.31</v>
      </c>
      <c r="I20" s="7">
        <f t="shared" si="0"/>
        <v>-2.1026870010403698E-2</v>
      </c>
    </row>
    <row r="21" spans="1:9" x14ac:dyDescent="0.3">
      <c r="A21" s="9">
        <v>45260</v>
      </c>
      <c r="B21" s="10">
        <v>110.27</v>
      </c>
      <c r="C21" s="10">
        <v>110.27</v>
      </c>
      <c r="D21" s="10">
        <v>0</v>
      </c>
      <c r="E21" s="7">
        <f t="shared" si="1"/>
        <v>7.2978495669942592E-2</v>
      </c>
      <c r="G21" s="14">
        <v>45260</v>
      </c>
      <c r="H21" s="13">
        <v>9879.02</v>
      </c>
      <c r="I21" s="7">
        <f t="shared" si="0"/>
        <v>9.132586047097381E-2</v>
      </c>
    </row>
    <row r="22" spans="1:9" x14ac:dyDescent="0.3">
      <c r="A22" s="9">
        <v>45289</v>
      </c>
      <c r="B22" s="10">
        <v>108.57</v>
      </c>
      <c r="C22" s="10">
        <v>108.57</v>
      </c>
      <c r="D22" s="10">
        <v>0.37</v>
      </c>
      <c r="E22" s="7">
        <f t="shared" si="1"/>
        <v>-1.2061304071823731E-2</v>
      </c>
      <c r="G22" s="14">
        <v>45289</v>
      </c>
      <c r="H22" s="13">
        <v>10327.83</v>
      </c>
      <c r="I22" s="7">
        <f t="shared" si="0"/>
        <v>4.5430619636360636E-2</v>
      </c>
    </row>
    <row r="23" spans="1:9" x14ac:dyDescent="0.3">
      <c r="A23" s="9">
        <v>45322</v>
      </c>
      <c r="B23" s="10">
        <v>101.53</v>
      </c>
      <c r="C23" s="10">
        <v>101.53</v>
      </c>
      <c r="D23" s="10">
        <v>0</v>
      </c>
      <c r="E23" s="7">
        <f t="shared" si="1"/>
        <v>-6.4842958459979672E-2</v>
      </c>
      <c r="G23" s="14">
        <v>45322</v>
      </c>
      <c r="H23" s="13">
        <v>10501.38</v>
      </c>
      <c r="I23" s="7">
        <f t="shared" si="0"/>
        <v>1.6804110834512116E-2</v>
      </c>
    </row>
    <row r="24" spans="1:9" x14ac:dyDescent="0.3">
      <c r="A24" s="9">
        <v>45351</v>
      </c>
      <c r="B24" s="10">
        <v>103.93</v>
      </c>
      <c r="C24" s="10">
        <v>103.93</v>
      </c>
      <c r="D24" s="10">
        <v>0</v>
      </c>
      <c r="E24" s="7">
        <f t="shared" si="1"/>
        <v>2.3638333497488482E-2</v>
      </c>
      <c r="G24" s="14">
        <v>45351</v>
      </c>
      <c r="H24" s="13">
        <v>11062.11</v>
      </c>
      <c r="I24" s="7">
        <f t="shared" si="0"/>
        <v>5.3395839403964189E-2</v>
      </c>
    </row>
    <row r="25" spans="1:9" x14ac:dyDescent="0.3">
      <c r="A25" s="9">
        <v>45380</v>
      </c>
      <c r="B25" s="10">
        <v>93.98</v>
      </c>
      <c r="C25" s="10">
        <v>93.98</v>
      </c>
      <c r="D25" s="10">
        <v>0.37</v>
      </c>
      <c r="E25" s="7">
        <f t="shared" si="1"/>
        <v>-9.2177427114403951E-2</v>
      </c>
      <c r="G25" s="14">
        <v>45380</v>
      </c>
      <c r="H25" s="13">
        <v>11418.03</v>
      </c>
      <c r="I25" s="7">
        <f t="shared" si="0"/>
        <v>3.2174693616317328E-2</v>
      </c>
    </row>
    <row r="26" spans="1:9" x14ac:dyDescent="0.3">
      <c r="A26" s="9">
        <v>45412</v>
      </c>
      <c r="B26" s="10">
        <v>92.26</v>
      </c>
      <c r="C26" s="10">
        <v>92.26</v>
      </c>
      <c r="D26" s="10">
        <v>0</v>
      </c>
      <c r="E26" s="7">
        <f t="shared" si="1"/>
        <v>-1.8301766333262384E-2</v>
      </c>
      <c r="G26" s="14">
        <v>45412</v>
      </c>
      <c r="H26" s="13">
        <v>10951.66</v>
      </c>
      <c r="I26" s="7">
        <f t="shared" si="0"/>
        <v>-4.0845049452488805E-2</v>
      </c>
    </row>
    <row r="27" spans="1:9" x14ac:dyDescent="0.3">
      <c r="A27" s="9">
        <v>45443</v>
      </c>
      <c r="B27" s="10">
        <v>95.05</v>
      </c>
      <c r="C27" s="10">
        <v>95.05</v>
      </c>
      <c r="D27" s="10">
        <v>0</v>
      </c>
      <c r="E27" s="7">
        <f t="shared" si="1"/>
        <v>3.0240624322566571E-2</v>
      </c>
      <c r="G27" s="14">
        <v>45443</v>
      </c>
      <c r="H27" s="13">
        <v>11494.7</v>
      </c>
      <c r="I27" s="7">
        <f t="shared" si="0"/>
        <v>4.9585177041654042E-2</v>
      </c>
    </row>
    <row r="28" spans="1:9" x14ac:dyDescent="0.3">
      <c r="A28" s="9">
        <v>45471</v>
      </c>
      <c r="B28" s="10">
        <v>75.37</v>
      </c>
      <c r="C28" s="10">
        <v>75.37</v>
      </c>
      <c r="D28" s="10">
        <v>0.37</v>
      </c>
      <c r="E28" s="7">
        <f t="shared" si="1"/>
        <v>-0.20315623356128346</v>
      </c>
      <c r="G28" s="14">
        <v>45471</v>
      </c>
      <c r="H28" s="13">
        <v>11907.15</v>
      </c>
      <c r="I28" s="7">
        <f t="shared" si="0"/>
        <v>3.5881754199761536E-2</v>
      </c>
    </row>
    <row r="29" spans="1:9" x14ac:dyDescent="0.3">
      <c r="A29" s="9">
        <v>45504</v>
      </c>
      <c r="B29" s="10">
        <v>74.86</v>
      </c>
      <c r="C29" s="10">
        <v>74.86</v>
      </c>
      <c r="D29" s="10">
        <v>0</v>
      </c>
      <c r="E29" s="7">
        <f t="shared" si="1"/>
        <v>-6.7666180177790242E-3</v>
      </c>
      <c r="G29" s="14">
        <v>45504</v>
      </c>
      <c r="H29" s="13">
        <v>12052.09</v>
      </c>
      <c r="I29" s="7">
        <f t="shared" si="0"/>
        <v>1.2172518192850557E-2</v>
      </c>
    </row>
    <row r="30" spans="1:9" x14ac:dyDescent="0.3">
      <c r="A30" s="9">
        <v>45534</v>
      </c>
      <c r="B30" s="10">
        <v>83.32</v>
      </c>
      <c r="C30" s="10">
        <v>83.32</v>
      </c>
      <c r="D30" s="10">
        <v>0</v>
      </c>
      <c r="E30" s="7">
        <f t="shared" si="1"/>
        <v>0.11301095378038997</v>
      </c>
      <c r="G30" s="14">
        <v>45534</v>
      </c>
      <c r="H30" s="13">
        <v>12344.43</v>
      </c>
      <c r="I30" s="7">
        <f t="shared" si="0"/>
        <v>2.4256373790769913E-2</v>
      </c>
    </row>
    <row r="31" spans="1:9" x14ac:dyDescent="0.3">
      <c r="A31" s="9">
        <v>45565</v>
      </c>
      <c r="B31" s="10">
        <v>88.4</v>
      </c>
      <c r="C31" s="10">
        <v>88.4</v>
      </c>
      <c r="D31" s="10">
        <v>0.37</v>
      </c>
      <c r="E31" s="7">
        <f t="shared" si="1"/>
        <v>6.5410465674508075E-2</v>
      </c>
      <c r="G31" s="14">
        <v>45565</v>
      </c>
      <c r="H31" s="13">
        <v>12608.07</v>
      </c>
      <c r="I31" s="7">
        <f t="shared" si="0"/>
        <v>2.1357000687759534E-2</v>
      </c>
    </row>
    <row r="32" spans="1:9" x14ac:dyDescent="0.3">
      <c r="A32" s="9">
        <v>45596</v>
      </c>
      <c r="B32" s="10">
        <v>77.13</v>
      </c>
      <c r="C32" s="10">
        <v>77.13</v>
      </c>
      <c r="D32" s="10">
        <v>0</v>
      </c>
      <c r="E32" s="7">
        <f t="shared" si="1"/>
        <v>-0.12748868778280553</v>
      </c>
      <c r="G32" s="14">
        <v>45596</v>
      </c>
      <c r="H32" s="13">
        <v>12493.74</v>
      </c>
      <c r="I32" s="7">
        <f t="shared" si="0"/>
        <v>-9.0680016846353111E-3</v>
      </c>
    </row>
    <row r="33" spans="1:9" x14ac:dyDescent="0.3">
      <c r="A33" s="9">
        <v>45625</v>
      </c>
      <c r="B33" s="10">
        <v>78.77</v>
      </c>
      <c r="C33" s="10">
        <v>78.77</v>
      </c>
      <c r="D33" s="10">
        <v>0</v>
      </c>
      <c r="E33" s="7">
        <f t="shared" si="1"/>
        <v>2.1262803059769228E-2</v>
      </c>
      <c r="G33" s="14">
        <v>45625</v>
      </c>
      <c r="H33" s="13">
        <v>13227.13</v>
      </c>
      <c r="I33" s="7">
        <f t="shared" si="0"/>
        <v>5.8700597259107312E-2</v>
      </c>
    </row>
    <row r="34" spans="1:9" x14ac:dyDescent="0.3">
      <c r="A34" s="9">
        <v>45657</v>
      </c>
      <c r="B34" s="10">
        <v>75.67</v>
      </c>
      <c r="C34" s="10">
        <v>75.67</v>
      </c>
      <c r="D34" s="10">
        <v>0.4</v>
      </c>
      <c r="E34" s="7">
        <f t="shared" si="1"/>
        <v>-3.4277009013583784E-2</v>
      </c>
      <c r="G34" s="14">
        <v>45657</v>
      </c>
      <c r="H34" s="13">
        <v>12911.82</v>
      </c>
      <c r="I34" s="7">
        <f t="shared" si="0"/>
        <v>-2.3838126638204924E-2</v>
      </c>
    </row>
    <row r="35" spans="1:9" x14ac:dyDescent="0.3">
      <c r="A35" s="9">
        <v>45688</v>
      </c>
      <c r="B35" s="10">
        <v>76.900000000000006</v>
      </c>
      <c r="C35" s="10">
        <v>76.900000000000006</v>
      </c>
      <c r="D35" s="10">
        <v>0</v>
      </c>
      <c r="E35" s="7">
        <f t="shared" si="1"/>
        <v>1.6254790537861819E-2</v>
      </c>
      <c r="G35" s="14">
        <v>45688</v>
      </c>
      <c r="H35" s="13">
        <v>13271.38</v>
      </c>
      <c r="I35" s="7">
        <f t="shared" si="0"/>
        <v>2.7847352271019848E-2</v>
      </c>
    </row>
    <row r="36" spans="1:9" x14ac:dyDescent="0.3">
      <c r="A36" s="9">
        <v>45716</v>
      </c>
      <c r="B36" s="10">
        <v>79.430000000000007</v>
      </c>
      <c r="C36" s="10">
        <v>79.430000000000007</v>
      </c>
      <c r="D36" s="10">
        <v>0</v>
      </c>
      <c r="E36" s="7">
        <f t="shared" si="1"/>
        <v>3.2899869960988308E-2</v>
      </c>
      <c r="G36" s="14">
        <v>45716</v>
      </c>
      <c r="H36" s="13">
        <v>13098.22</v>
      </c>
      <c r="I36" s="7">
        <f t="shared" si="0"/>
        <v>-1.3047625793248318E-2</v>
      </c>
    </row>
    <row r="37" spans="1:9" x14ac:dyDescent="0.3">
      <c r="A37" s="9">
        <v>45747</v>
      </c>
      <c r="B37" s="10">
        <v>63.48</v>
      </c>
      <c r="C37" s="10">
        <v>63.48</v>
      </c>
      <c r="D37" s="10">
        <v>0.4</v>
      </c>
      <c r="E37" s="7">
        <f t="shared" si="1"/>
        <v>-0.19576986025431209</v>
      </c>
      <c r="G37" s="14">
        <v>45747</v>
      </c>
      <c r="H37" s="13">
        <v>12360.21</v>
      </c>
      <c r="I37" s="7">
        <f t="shared" si="0"/>
        <v>-5.6344297164042156E-2</v>
      </c>
    </row>
    <row r="38" spans="1:9" x14ac:dyDescent="0.3">
      <c r="A38" s="9">
        <v>45777</v>
      </c>
      <c r="B38" s="10">
        <v>56.4</v>
      </c>
      <c r="C38" s="10">
        <v>56.4</v>
      </c>
      <c r="D38" s="10">
        <v>0</v>
      </c>
      <c r="E38" s="7">
        <f t="shared" si="1"/>
        <v>-0.11153119092627597</v>
      </c>
      <c r="G38" s="14">
        <v>45777</v>
      </c>
      <c r="H38" s="13">
        <v>12276.39</v>
      </c>
      <c r="I38" s="7">
        <f t="shared" si="0"/>
        <v>-6.781438179448384E-3</v>
      </c>
    </row>
    <row r="40" spans="1:9" x14ac:dyDescent="0.3">
      <c r="B40" s="1" t="s">
        <v>64</v>
      </c>
      <c r="H40" s="1" t="s">
        <v>11</v>
      </c>
    </row>
    <row r="41" spans="1:9" x14ac:dyDescent="0.3">
      <c r="B41" t="str">
        <f ca="1">_xlfn.FORMULATEXT(B42)</f>
        <v>=AVERAGE(E3:E38)</v>
      </c>
      <c r="H41" t="str">
        <f ca="1">_xlfn.FORMULATEXT(H42)</f>
        <v>=AVERAGE(I3:I38)</v>
      </c>
    </row>
    <row r="42" spans="1:9" x14ac:dyDescent="0.3">
      <c r="A42" s="1" t="s">
        <v>5</v>
      </c>
      <c r="B42" s="19">
        <f>AVERAGE(E3:E38)</f>
        <v>-1.4668119636001897E-2</v>
      </c>
      <c r="D42" s="1" t="s">
        <v>15</v>
      </c>
      <c r="G42" s="1" t="s">
        <v>5</v>
      </c>
      <c r="H42" s="19">
        <f>AVERAGE(I3:I38)</f>
        <v>1.0962774968825601E-2</v>
      </c>
    </row>
    <row r="43" spans="1:9" x14ac:dyDescent="0.3">
      <c r="B43" t="str">
        <f ca="1">_xlfn.FORMULATEXT(B44)</f>
        <v>=PRODUCT(1+E3:E38)^(1/COUNTA(E3:E38))-1</v>
      </c>
      <c r="D43" s="1" t="s">
        <v>14</v>
      </c>
      <c r="E43" s="17">
        <v>3.5100000000000001E-3</v>
      </c>
      <c r="H43" t="str">
        <f ca="1">_xlfn.FORMULATEXT(H44)</f>
        <v>=PRODUCT(1+I3:I38)^(1/COUNTA(I3:I38))-1</v>
      </c>
    </row>
    <row r="44" spans="1:9" x14ac:dyDescent="0.3">
      <c r="A44" s="1" t="s">
        <v>6</v>
      </c>
      <c r="B44" s="19" cm="1">
        <f t="array" ref="B44">PRODUCT(1+E3:E38)^(1/COUNTA(E3:E38))-1</f>
        <v>-1.9756167742390862E-2</v>
      </c>
      <c r="G44" s="1" t="s">
        <v>6</v>
      </c>
      <c r="H44" s="19" cm="1">
        <f t="array" ref="H44">PRODUCT(1+I3:I38)^(1/COUNTA(I3:I38))-1</f>
        <v>9.8455127486238858E-3</v>
      </c>
    </row>
    <row r="45" spans="1:9" x14ac:dyDescent="0.3">
      <c r="B45" t="str">
        <f ca="1">_xlfn.FORMULATEXT(B46)</f>
        <v>=PRODUCT(1+E3:E38)-1</v>
      </c>
      <c r="C45" t="str">
        <f ca="1">_xlfn.FORMULATEXT(C46)</f>
        <v>=(B38-B3+SUM(D3:D38))/B3</v>
      </c>
      <c r="H45" s="7" t="str">
        <f ca="1">_xlfn.FORMULATEXT(H46)</f>
        <v>=STDEV.S(I3:I38)</v>
      </c>
    </row>
    <row r="46" spans="1:9" x14ac:dyDescent="0.3">
      <c r="A46" s="1" t="s">
        <v>7</v>
      </c>
      <c r="B46" s="19" cm="1">
        <f t="array" ref="B46">PRODUCT(1+E3:E38)-1</f>
        <v>-0.50261332852718055</v>
      </c>
      <c r="C46" s="19">
        <f>(B38-B3+SUM(D3:D38))/B3</f>
        <v>-0.48960875052587294</v>
      </c>
      <c r="G46" s="1" t="s">
        <v>16</v>
      </c>
      <c r="H46" s="19">
        <f>_xlfn.STDEV.S(I3:I38)</f>
        <v>4.7962937454193715E-2</v>
      </c>
    </row>
    <row r="47" spans="1:9" x14ac:dyDescent="0.3">
      <c r="B47" t="str">
        <f ca="1">_xlfn.FORMULATEXT(B48)</f>
        <v>=STDEV.S(E3:E38)</v>
      </c>
      <c r="H47" t="str">
        <f ca="1">_xlfn.FORMULATEXT(H48)</f>
        <v>=(H38-H3) / H3</v>
      </c>
    </row>
    <row r="48" spans="1:9" x14ac:dyDescent="0.3">
      <c r="A48" s="1" t="s">
        <v>8</v>
      </c>
      <c r="B48" s="19">
        <f>_xlfn.STDEV.S(E3:E38)</f>
        <v>0.10002187396092459</v>
      </c>
      <c r="G48" s="1" t="s">
        <v>7</v>
      </c>
      <c r="H48" s="18">
        <f>(H38-H3) / H3</f>
        <v>0.40903863370291288</v>
      </c>
    </row>
    <row r="49" spans="1:9" x14ac:dyDescent="0.3">
      <c r="B49" t="str">
        <f ca="1">_xlfn.FORMULATEXT(B50)</f>
        <v>=COVARIANCE.S(E3:E38,I3:I38) / VAR.S(I3:I38)</v>
      </c>
      <c r="H49" t="str">
        <f ca="1">_xlfn.FORMULATEXT(H50)</f>
        <v>=(I38-E43) / 1</v>
      </c>
      <c r="I49" t="str">
        <f ca="1">_xlfn.FORMULATEXT(I50)</f>
        <v>=(H42-E43) / 1</v>
      </c>
    </row>
    <row r="50" spans="1:9" x14ac:dyDescent="0.3">
      <c r="A50" s="1" t="s">
        <v>63</v>
      </c>
      <c r="B50" s="18">
        <f>_xlfn.COVARIANCE.S(E3:E38,I3:I38) / _xlfn.VAR.S(I3:I38)</f>
        <v>1.2573909313752527</v>
      </c>
      <c r="G50" s="1" t="s">
        <v>13</v>
      </c>
      <c r="H50" s="18">
        <f>(I38-E43) / 1</f>
        <v>-1.0291438179448383E-2</v>
      </c>
      <c r="I50" s="18">
        <f>(H42-E43) / 1</f>
        <v>7.452774968825601E-3</v>
      </c>
    </row>
    <row r="51" spans="1:9" x14ac:dyDescent="0.3">
      <c r="B51" t="str">
        <f ca="1">_xlfn.FORMULATEXT(B52)</f>
        <v>=(E38-E43) / B50</v>
      </c>
      <c r="C51" t="str">
        <f ca="1">_xlfn.FORMULATEXT(C52)</f>
        <v>=(B42-E43) / B50</v>
      </c>
    </row>
    <row r="52" spans="1:9" x14ac:dyDescent="0.3">
      <c r="A52" s="1" t="s">
        <v>13</v>
      </c>
      <c r="B52" s="18">
        <f>(E38-E43) / B50</f>
        <v>-9.1491983961146731E-2</v>
      </c>
      <c r="C52" s="18">
        <f>(B42-E43) / B50</f>
        <v>-1.445701506381937E-2</v>
      </c>
      <c r="G52" s="1"/>
    </row>
    <row r="53" spans="1:9" x14ac:dyDescent="0.3">
      <c r="B53" t="str">
        <f ca="1">_xlfn.FORMULATEXT(B54)</f>
        <v>=E43+B50*(H42-E43)</v>
      </c>
    </row>
    <row r="54" spans="1:9" x14ac:dyDescent="0.3">
      <c r="A54" s="1" t="s">
        <v>65</v>
      </c>
      <c r="B54" s="19">
        <f>E43+B50*(H42-E43)</f>
        <v>1.2881051659381793E-2</v>
      </c>
    </row>
    <row r="58" spans="1:9" x14ac:dyDescent="0.3">
      <c r="E58" s="7" t="str">
        <f ca="1">_xlfn.FORMULATEXT(E59)</f>
        <v>=0.5 * B42 + 0.5 * H42</v>
      </c>
    </row>
    <row r="59" spans="1:9" x14ac:dyDescent="0.3">
      <c r="D59" s="1" t="s">
        <v>17</v>
      </c>
      <c r="E59" s="7">
        <f>0.5 * B42 + 0.5 * H42</f>
        <v>-1.8526723335881481E-3</v>
      </c>
    </row>
    <row r="60" spans="1:9" x14ac:dyDescent="0.3">
      <c r="E60" s="7" t="str">
        <f ca="1">_xlfn.FORMULATEXT(E61)</f>
        <v>=CORREL(E3:E38,I3:I38)</v>
      </c>
    </row>
    <row r="61" spans="1:9" ht="28.8" x14ac:dyDescent="0.3">
      <c r="D61" s="6" t="s">
        <v>18</v>
      </c>
      <c r="E61">
        <f>CORREL(E3:E38,I3:I38)</f>
        <v>0.60294973698035448</v>
      </c>
    </row>
    <row r="62" spans="1:9" x14ac:dyDescent="0.3">
      <c r="E62" s="7" t="str">
        <f ca="1">_xlfn.FORMULATEXT(E63)</f>
        <v>=SQRT((0.5^2 * B48^2) + (0.5^2 * H46^2) + (2*0.5*0.5*E61*B48*H46))</v>
      </c>
    </row>
    <row r="63" spans="1:9" ht="43.2" x14ac:dyDescent="0.3">
      <c r="D63" s="6" t="s">
        <v>19</v>
      </c>
      <c r="E63" s="7">
        <f>SQRT((0.5^2 * B48^2) + (0.5^2 * H46^2) + (2*0.5*0.5*E61*B48*H46))</f>
        <v>6.7249408735554267E-2</v>
      </c>
    </row>
    <row r="64" spans="1:9" x14ac:dyDescent="0.3">
      <c r="E64" s="7" t="str">
        <f ca="1">_xlfn.FORMULATEXT(E65)</f>
        <v>=0.5 * B50 + 0.5 * 1</v>
      </c>
    </row>
    <row r="65" spans="4:5" ht="43.2" x14ac:dyDescent="0.3">
      <c r="D65" s="6" t="s">
        <v>20</v>
      </c>
      <c r="E65">
        <f>0.5 * B50 + 0.5 * 1</f>
        <v>1.1286954656876262</v>
      </c>
    </row>
    <row r="66" spans="4:5" x14ac:dyDescent="0.3">
      <c r="E66" s="7" t="str">
        <f ca="1">_xlfn.FORMULATEXT(E67)</f>
        <v>=E43 + E65 * (H42 - E43)</v>
      </c>
    </row>
    <row r="67" spans="4:5" ht="43.2" x14ac:dyDescent="0.3">
      <c r="D67" s="6" t="s">
        <v>21</v>
      </c>
      <c r="E67" s="7">
        <f>E43 + E65 * (H42 - E43)</f>
        <v>1.1921913314103697E-2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FE1D-4E36-4532-9123-09586C3F8CF2}">
  <dimension ref="B3:E39"/>
  <sheetViews>
    <sheetView topLeftCell="A4" workbookViewId="0">
      <selection activeCell="E39" sqref="E39"/>
    </sheetView>
  </sheetViews>
  <sheetFormatPr defaultRowHeight="14.4" x14ac:dyDescent="0.3"/>
  <cols>
    <col min="4" max="4" width="9.44140625" bestFit="1" customWidth="1"/>
  </cols>
  <sheetData>
    <row r="3" spans="2:5" ht="28.8" x14ac:dyDescent="0.3">
      <c r="B3" s="15" t="s">
        <v>22</v>
      </c>
      <c r="C3" s="15" t="s">
        <v>23</v>
      </c>
      <c r="D3" s="15" t="s">
        <v>24</v>
      </c>
      <c r="E3" s="15" t="s">
        <v>25</v>
      </c>
    </row>
    <row r="4" spans="2:5" ht="43.2" x14ac:dyDescent="0.3">
      <c r="B4" s="10" t="s">
        <v>26</v>
      </c>
      <c r="C4" s="10">
        <v>1.02</v>
      </c>
      <c r="D4" s="16" t="s">
        <v>27</v>
      </c>
      <c r="E4" s="10">
        <v>8.4999999999999995E-4</v>
      </c>
    </row>
    <row r="5" spans="2:5" x14ac:dyDescent="0.3">
      <c r="B5" s="10" t="s">
        <v>28</v>
      </c>
      <c r="C5" s="10">
        <v>1.57</v>
      </c>
      <c r="D5" s="16">
        <v>1.2999999999999999E-3</v>
      </c>
      <c r="E5" s="10">
        <v>1.31E-3</v>
      </c>
    </row>
    <row r="6" spans="2:5" x14ac:dyDescent="0.3">
      <c r="B6" s="10" t="s">
        <v>29</v>
      </c>
      <c r="C6" s="10">
        <v>2.25</v>
      </c>
      <c r="D6" s="16">
        <v>1.854E-3</v>
      </c>
      <c r="E6" s="10">
        <v>1.8799999999999999E-3</v>
      </c>
    </row>
    <row r="7" spans="2:5" x14ac:dyDescent="0.3">
      <c r="B7" s="10" t="s">
        <v>30</v>
      </c>
      <c r="C7" s="10">
        <v>2.64</v>
      </c>
      <c r="D7" s="16">
        <v>2.1689999999999999E-3</v>
      </c>
      <c r="E7" s="10">
        <v>2.2000000000000001E-3</v>
      </c>
    </row>
    <row r="8" spans="2:5" x14ac:dyDescent="0.3">
      <c r="B8" s="10" t="s">
        <v>31</v>
      </c>
      <c r="C8" s="10">
        <v>3.13</v>
      </c>
      <c r="D8" s="16">
        <v>2.565E-3</v>
      </c>
      <c r="E8" s="10">
        <v>2.6099999999999999E-3</v>
      </c>
    </row>
    <row r="9" spans="2:5" x14ac:dyDescent="0.3">
      <c r="B9" s="10" t="s">
        <v>32</v>
      </c>
      <c r="C9" s="10">
        <v>3.78</v>
      </c>
      <c r="D9" s="16">
        <v>3.0869999999999999E-3</v>
      </c>
      <c r="E9" s="10">
        <v>3.15E-3</v>
      </c>
    </row>
    <row r="10" spans="2:5" x14ac:dyDescent="0.3">
      <c r="B10" s="10" t="s">
        <v>33</v>
      </c>
      <c r="C10" s="10">
        <v>4.18</v>
      </c>
      <c r="D10" s="16">
        <v>3.4039999999999999E-3</v>
      </c>
      <c r="E10" s="10">
        <v>3.48E-3</v>
      </c>
    </row>
    <row r="11" spans="2:5" x14ac:dyDescent="0.3">
      <c r="B11" s="10" t="s">
        <v>34</v>
      </c>
      <c r="C11" s="10">
        <v>4.28</v>
      </c>
      <c r="D11" s="16">
        <v>3.483E-3</v>
      </c>
      <c r="E11" s="10">
        <v>3.5699999999999998E-3</v>
      </c>
    </row>
    <row r="12" spans="2:5" x14ac:dyDescent="0.3">
      <c r="B12" s="10" t="s">
        <v>35</v>
      </c>
      <c r="C12" s="10">
        <v>4.5599999999999996</v>
      </c>
      <c r="D12" s="16">
        <v>3.7069999999999998E-3</v>
      </c>
      <c r="E12" s="10">
        <v>3.8E-3</v>
      </c>
    </row>
    <row r="13" spans="2:5" x14ac:dyDescent="0.3">
      <c r="B13" s="10" t="s">
        <v>36</v>
      </c>
      <c r="C13" s="10">
        <v>4.68</v>
      </c>
      <c r="D13" s="16">
        <v>3.8010000000000001E-3</v>
      </c>
      <c r="E13" s="10">
        <v>3.8999999999999998E-3</v>
      </c>
    </row>
    <row r="14" spans="2:5" x14ac:dyDescent="0.3">
      <c r="B14" s="10" t="s">
        <v>37</v>
      </c>
      <c r="C14" s="10">
        <v>4.71</v>
      </c>
      <c r="D14" s="16">
        <v>3.8249999999999998E-3</v>
      </c>
      <c r="E14" s="10">
        <v>3.9300000000000003E-3</v>
      </c>
    </row>
    <row r="15" spans="2:5" x14ac:dyDescent="0.3">
      <c r="B15" s="10" t="s">
        <v>38</v>
      </c>
      <c r="C15" s="10">
        <v>4.88</v>
      </c>
      <c r="D15" s="16">
        <v>3.9579999999999997E-3</v>
      </c>
      <c r="E15" s="10">
        <v>4.0699999999999998E-3</v>
      </c>
    </row>
    <row r="16" spans="2:5" x14ac:dyDescent="0.3">
      <c r="B16" s="10" t="s">
        <v>39</v>
      </c>
      <c r="C16" s="10">
        <v>5.15</v>
      </c>
      <c r="D16" s="16">
        <v>4.169E-3</v>
      </c>
      <c r="E16" s="10">
        <v>4.2900000000000004E-3</v>
      </c>
    </row>
    <row r="17" spans="2:5" x14ac:dyDescent="0.3">
      <c r="B17" s="10" t="s">
        <v>40</v>
      </c>
      <c r="C17" s="10">
        <v>5.18</v>
      </c>
      <c r="D17" s="16">
        <v>4.1910000000000003E-3</v>
      </c>
      <c r="E17" s="10">
        <v>4.3200000000000001E-3</v>
      </c>
    </row>
    <row r="18" spans="2:5" x14ac:dyDescent="0.3">
      <c r="B18" s="10" t="s">
        <v>41</v>
      </c>
      <c r="C18" s="10">
        <v>5.25</v>
      </c>
      <c r="D18" s="16">
        <v>4.2430000000000002E-3</v>
      </c>
      <c r="E18" s="10">
        <v>4.3800000000000002E-3</v>
      </c>
    </row>
    <row r="19" spans="2:5" x14ac:dyDescent="0.3">
      <c r="B19" s="10" t="s">
        <v>42</v>
      </c>
      <c r="C19" s="10">
        <v>5.31</v>
      </c>
      <c r="D19" s="16">
        <v>4.2900000000000004E-3</v>
      </c>
      <c r="E19" s="10">
        <v>4.4299999999999999E-3</v>
      </c>
    </row>
    <row r="20" spans="2:5" x14ac:dyDescent="0.3">
      <c r="B20" s="10" t="s">
        <v>43</v>
      </c>
      <c r="C20" s="10">
        <v>5.33</v>
      </c>
      <c r="D20" s="16">
        <v>4.3059999999999999E-3</v>
      </c>
      <c r="E20" s="10">
        <v>4.4400000000000004E-3</v>
      </c>
    </row>
    <row r="21" spans="2:5" x14ac:dyDescent="0.3">
      <c r="B21" s="10" t="s">
        <v>44</v>
      </c>
      <c r="C21" s="10">
        <v>5.34</v>
      </c>
      <c r="D21" s="16">
        <v>4.3140000000000001E-3</v>
      </c>
      <c r="E21" s="10">
        <v>4.45E-3</v>
      </c>
    </row>
    <row r="22" spans="2:5" x14ac:dyDescent="0.3">
      <c r="B22" s="10" t="s">
        <v>45</v>
      </c>
      <c r="C22" s="10">
        <v>5.27</v>
      </c>
      <c r="D22" s="16">
        <v>4.2589999999999998E-3</v>
      </c>
      <c r="E22" s="10">
        <v>4.3899999999999998E-3</v>
      </c>
    </row>
    <row r="23" spans="2:5" x14ac:dyDescent="0.3">
      <c r="B23" s="10" t="s">
        <v>46</v>
      </c>
      <c r="C23" s="10">
        <v>5.24</v>
      </c>
      <c r="D23" s="16">
        <v>4.235E-3</v>
      </c>
      <c r="E23" s="10">
        <v>4.3699999999999998E-3</v>
      </c>
    </row>
    <row r="24" spans="2:5" x14ac:dyDescent="0.3">
      <c r="B24" s="10" t="s">
        <v>47</v>
      </c>
      <c r="C24" s="10">
        <v>5.23</v>
      </c>
      <c r="D24" s="16">
        <v>4.2269999999999999E-3</v>
      </c>
      <c r="E24" s="10">
        <v>4.3600000000000002E-3</v>
      </c>
    </row>
    <row r="25" spans="2:5" x14ac:dyDescent="0.3">
      <c r="B25" s="10" t="s">
        <v>48</v>
      </c>
      <c r="C25" s="10">
        <v>5.24</v>
      </c>
      <c r="D25" s="16">
        <v>4.235E-3</v>
      </c>
      <c r="E25" s="10">
        <v>4.3699999999999998E-3</v>
      </c>
    </row>
    <row r="26" spans="2:5" x14ac:dyDescent="0.3">
      <c r="B26" s="10" t="s">
        <v>49</v>
      </c>
      <c r="C26" s="10">
        <v>5.24</v>
      </c>
      <c r="D26" s="16">
        <v>4.235E-3</v>
      </c>
      <c r="E26" s="10">
        <v>4.3699999999999998E-3</v>
      </c>
    </row>
    <row r="27" spans="2:5" x14ac:dyDescent="0.3">
      <c r="B27" s="10" t="s">
        <v>50</v>
      </c>
      <c r="C27" s="10">
        <v>5.24</v>
      </c>
      <c r="D27" s="16">
        <v>4.235E-3</v>
      </c>
      <c r="E27" s="10">
        <v>4.3699999999999998E-3</v>
      </c>
    </row>
    <row r="28" spans="2:5" x14ac:dyDescent="0.3">
      <c r="B28" s="10" t="s">
        <v>51</v>
      </c>
      <c r="C28" s="10">
        <v>5.25</v>
      </c>
      <c r="D28" s="16">
        <v>4.2430000000000002E-3</v>
      </c>
      <c r="E28" s="10">
        <v>4.3800000000000002E-3</v>
      </c>
    </row>
    <row r="29" spans="2:5" x14ac:dyDescent="0.3">
      <c r="B29" s="10" t="s">
        <v>52</v>
      </c>
      <c r="C29" s="10">
        <v>5.24</v>
      </c>
      <c r="D29" s="16">
        <v>4.235E-3</v>
      </c>
      <c r="E29" s="10">
        <v>4.3699999999999998E-3</v>
      </c>
    </row>
    <row r="30" spans="2:5" x14ac:dyDescent="0.3">
      <c r="B30" s="10" t="s">
        <v>53</v>
      </c>
      <c r="C30" s="10">
        <v>5.2</v>
      </c>
      <c r="D30" s="16">
        <v>4.2030000000000001E-3</v>
      </c>
      <c r="E30" s="10">
        <v>4.3299999999999996E-3</v>
      </c>
    </row>
    <row r="31" spans="2:5" x14ac:dyDescent="0.3">
      <c r="B31" s="10" t="s">
        <v>54</v>
      </c>
      <c r="C31" s="10">
        <v>5.0599999999999996</v>
      </c>
      <c r="D31" s="16">
        <v>4.0920000000000002E-3</v>
      </c>
      <c r="E31" s="10">
        <v>4.2199999999999998E-3</v>
      </c>
    </row>
    <row r="32" spans="2:5" x14ac:dyDescent="0.3">
      <c r="B32" s="10" t="s">
        <v>55</v>
      </c>
      <c r="C32" s="10">
        <v>4.74</v>
      </c>
      <c r="D32" s="16">
        <v>3.849E-3</v>
      </c>
      <c r="E32" s="10">
        <v>3.9500000000000004E-3</v>
      </c>
    </row>
    <row r="33" spans="2:5" x14ac:dyDescent="0.3">
      <c r="B33" s="10" t="s">
        <v>56</v>
      </c>
      <c r="C33" s="10">
        <v>4.51</v>
      </c>
      <c r="D33" s="16">
        <v>3.6679999999999998E-3</v>
      </c>
      <c r="E33" s="10">
        <v>3.7599999999999999E-3</v>
      </c>
    </row>
    <row r="34" spans="2:5" x14ac:dyDescent="0.3">
      <c r="B34" s="10" t="s">
        <v>57</v>
      </c>
      <c r="C34" s="10">
        <v>4.41</v>
      </c>
      <c r="D34" s="16">
        <v>3.5869999999999999E-3</v>
      </c>
      <c r="E34" s="10">
        <v>3.6800000000000001E-3</v>
      </c>
    </row>
    <row r="35" spans="2:5" x14ac:dyDescent="0.3">
      <c r="B35" s="10" t="s">
        <v>58</v>
      </c>
      <c r="C35" s="10">
        <v>4.2699999999999996</v>
      </c>
      <c r="D35" s="16">
        <v>3.4749999999999998E-3</v>
      </c>
      <c r="E35" s="10">
        <v>3.5599999999999998E-3</v>
      </c>
    </row>
    <row r="36" spans="2:5" x14ac:dyDescent="0.3">
      <c r="B36" s="10" t="s">
        <v>59</v>
      </c>
      <c r="C36" s="10">
        <v>4.21</v>
      </c>
      <c r="D36" s="16">
        <v>3.4280000000000001E-3</v>
      </c>
      <c r="E36" s="10">
        <v>3.5100000000000001E-3</v>
      </c>
    </row>
    <row r="37" spans="2:5" x14ac:dyDescent="0.3">
      <c r="B37" s="10" t="s">
        <v>60</v>
      </c>
      <c r="C37" s="10">
        <v>4.21</v>
      </c>
      <c r="D37" s="16">
        <v>3.4280000000000001E-3</v>
      </c>
      <c r="E37" s="10">
        <v>3.5100000000000001E-3</v>
      </c>
    </row>
    <row r="38" spans="2:5" x14ac:dyDescent="0.3">
      <c r="B38" s="10" t="s">
        <v>61</v>
      </c>
      <c r="C38" s="10">
        <v>4.2</v>
      </c>
      <c r="D38" s="16">
        <v>3.4199999999999999E-3</v>
      </c>
      <c r="E38" s="10">
        <v>3.5000000000000001E-3</v>
      </c>
    </row>
    <row r="39" spans="2:5" x14ac:dyDescent="0.3">
      <c r="B39" s="10" t="s">
        <v>62</v>
      </c>
      <c r="C39" s="10">
        <v>4.21</v>
      </c>
      <c r="D39" s="16">
        <v>3.4280000000000001E-3</v>
      </c>
      <c r="E39" s="10">
        <v>3.5100000000000001E-3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Mutungi, Vincent</dc:creator>
  <cp:lastModifiedBy>Mutungi, Vincent</cp:lastModifiedBy>
  <dcterms:created xsi:type="dcterms:W3CDTF">2025-10-31T21:03:20Z</dcterms:created>
  <dcterms:modified xsi:type="dcterms:W3CDTF">2025-11-11T18:12:25Z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b311d3-aea9-4488-bc88-99739ecc7603_Enabled">
    <vt:lpwstr>true</vt:lpwstr>
  </property>
  <property fmtid="{D5CDD505-2E9C-101B-9397-08002B2CF9AE}" pid="3" name="MSIP_Label_8cb311d3-aea9-4488-bc88-99739ecc7603_SetDate">
    <vt:lpwstr>2025-10-31T23:48:45Z</vt:lpwstr>
  </property>
  <property fmtid="{D5CDD505-2E9C-101B-9397-08002B2CF9AE}" pid="4" name="MSIP_Label_8cb311d3-aea9-4488-bc88-99739ecc7603_Method">
    <vt:lpwstr>Standard</vt:lpwstr>
  </property>
  <property fmtid="{D5CDD505-2E9C-101B-9397-08002B2CF9AE}" pid="5" name="MSIP_Label_8cb311d3-aea9-4488-bc88-99739ecc7603_Name">
    <vt:lpwstr>Internal - University</vt:lpwstr>
  </property>
  <property fmtid="{D5CDD505-2E9C-101B-9397-08002B2CF9AE}" pid="6" name="MSIP_Label_8cb311d3-aea9-4488-bc88-99739ecc7603_SiteId">
    <vt:lpwstr>9c36a7d0-bf7b-4991-9b78-be91a52f0226</vt:lpwstr>
  </property>
  <property fmtid="{D5CDD505-2E9C-101B-9397-08002B2CF9AE}" pid="7" name="MSIP_Label_8cb311d3-aea9-4488-bc88-99739ecc7603_ActionId">
    <vt:lpwstr>949db219-171f-4ef3-a255-c7caa593e76f</vt:lpwstr>
  </property>
  <property fmtid="{D5CDD505-2E9C-101B-9397-08002B2CF9AE}" pid="8" name="MSIP_Label_8cb311d3-aea9-4488-bc88-99739ecc7603_ContentBits">
    <vt:lpwstr>0</vt:lpwstr>
  </property>
  <property fmtid="{D5CDD505-2E9C-101B-9397-08002B2CF9AE}" pid="9" name="MSIP_Label_8cb311d3-aea9-4488-bc88-99739ecc7603_Tag">
    <vt:lpwstr>10, 3, 0, 1</vt:lpwstr>
  </property>
</Properties>
</file>