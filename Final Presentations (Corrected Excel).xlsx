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yotesusd-my.sharepoint.com/personal/vincent_mutungi_coyotes_usd_edu/Documents/2025 Fall - Managerial Finance/Assignment/"/>
    </mc:Choice>
  </mc:AlternateContent>
  <xr:revisionPtr revIDLastSave="234" documentId="8_{E6A072AD-B52A-48EF-83BC-D682E4C23105}" xr6:coauthVersionLast="47" xr6:coauthVersionMax="47" xr10:uidLastSave="{B4645230-7A1A-4C0A-88B3-5FDB47F566D7}"/>
  <bookViews>
    <workbookView xWindow="-108" yWindow="-108" windowWidth="23256" windowHeight="12456" activeTab="3" xr2:uid="{48738DA5-B010-4C59-A09F-AD536BBE8F8D}"/>
  </bookViews>
  <sheets>
    <sheet name="Equity" sheetId="2" r:id="rId1"/>
    <sheet name="Debt" sheetId="3" r:id="rId2"/>
    <sheet name="WACC" sheetId="4" r:id="rId3"/>
    <sheet name="Part 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5" l="1"/>
  <c r="C64" i="5"/>
  <c r="C63" i="5"/>
  <c r="C62" i="5"/>
  <c r="G55" i="5"/>
  <c r="G56" i="5"/>
  <c r="G57" i="5"/>
  <c r="G58" i="5"/>
  <c r="G59" i="5"/>
  <c r="G54" i="5"/>
  <c r="I50" i="5"/>
  <c r="E47" i="5"/>
  <c r="E48" i="5"/>
  <c r="E49" i="5"/>
  <c r="E50" i="5"/>
  <c r="E46" i="5"/>
  <c r="D47" i="5"/>
  <c r="D48" i="5"/>
  <c r="D49" i="5"/>
  <c r="D50" i="5"/>
  <c r="D46" i="5"/>
  <c r="E38" i="5"/>
  <c r="E39" i="5"/>
  <c r="E40" i="5"/>
  <c r="E41" i="5"/>
  <c r="E37" i="5"/>
  <c r="D30" i="5"/>
  <c r="G30" i="5" s="1"/>
  <c r="D31" i="5"/>
  <c r="D32" i="5"/>
  <c r="D33" i="5"/>
  <c r="D29" i="5"/>
  <c r="C30" i="5"/>
  <c r="C31" i="5"/>
  <c r="G31" i="5" s="1"/>
  <c r="H31" i="5" s="1"/>
  <c r="C32" i="5"/>
  <c r="C33" i="5"/>
  <c r="G33" i="5" s="1"/>
  <c r="C29" i="5"/>
  <c r="G29" i="5" s="1"/>
  <c r="D6" i="5"/>
  <c r="D7" i="5"/>
  <c r="D8" i="5"/>
  <c r="D9" i="5"/>
  <c r="D5" i="5"/>
  <c r="D10" i="4"/>
  <c r="C20" i="3"/>
  <c r="C15" i="2"/>
  <c r="C13" i="2"/>
  <c r="C15" i="3"/>
  <c r="I12" i="3"/>
  <c r="I5" i="3"/>
  <c r="I6" i="3"/>
  <c r="I7" i="3"/>
  <c r="I8" i="3"/>
  <c r="I9" i="3"/>
  <c r="I10" i="3"/>
  <c r="I11" i="3"/>
  <c r="I4" i="3"/>
  <c r="H12" i="3"/>
  <c r="H5" i="3"/>
  <c r="H6" i="3"/>
  <c r="H7" i="3"/>
  <c r="H8" i="3"/>
  <c r="H9" i="3"/>
  <c r="H10" i="3"/>
  <c r="H11" i="3"/>
  <c r="H4" i="3"/>
  <c r="C7" i="2"/>
  <c r="D19" i="5"/>
  <c r="D17" i="5"/>
  <c r="D14" i="5"/>
  <c r="E11" i="5"/>
  <c r="E5" i="5"/>
  <c r="D20" i="3"/>
  <c r="D15" i="2"/>
  <c r="E13" i="2"/>
  <c r="D7" i="2"/>
  <c r="D15" i="3"/>
  <c r="G32" i="5" l="1"/>
  <c r="D11" i="5"/>
  <c r="C14" i="5" s="1"/>
  <c r="C16" i="5" s="1"/>
  <c r="C17" i="5" s="1"/>
  <c r="C19" i="5" s="1"/>
  <c r="H32" i="5"/>
  <c r="I32" i="5" s="1"/>
  <c r="H29" i="5"/>
  <c r="I29" i="5" s="1"/>
  <c r="H33" i="5"/>
  <c r="I33" i="5" s="1"/>
  <c r="I31" i="5"/>
  <c r="H30" i="5"/>
  <c r="I30" i="5" s="1"/>
</calcChain>
</file>

<file path=xl/sharedStrings.xml><?xml version="1.0" encoding="utf-8"?>
<sst xmlns="http://schemas.openxmlformats.org/spreadsheetml/2006/main" count="131" uniqueCount="97">
  <si>
    <t>Cost of Equity</t>
  </si>
  <si>
    <t>Risk-Free Rate (Rf)</t>
  </si>
  <si>
    <t>Beta (β)</t>
  </si>
  <si>
    <t>Market Risk Premium (MRP)</t>
  </si>
  <si>
    <t>Bloomberg</t>
  </si>
  <si>
    <t>Mini Case Srudy 3</t>
  </si>
  <si>
    <t>Ke</t>
  </si>
  <si>
    <t>Bond-Level Inputs</t>
  </si>
  <si>
    <t>Maturity Date</t>
  </si>
  <si>
    <t>CUSIP</t>
  </si>
  <si>
    <t>Coupon Rate</t>
  </si>
  <si>
    <t>Amount Outstanding ($M)</t>
  </si>
  <si>
    <t>Carrying Value ($M)</t>
  </si>
  <si>
    <t>YTM (%)</t>
  </si>
  <si>
    <t>Weight (%)</t>
  </si>
  <si>
    <t>Contribution (%)</t>
  </si>
  <si>
    <t>654106AK9</t>
  </si>
  <si>
    <t>654106AL7</t>
  </si>
  <si>
    <t>654106AM5</t>
  </si>
  <si>
    <t>654106AF0</t>
  </si>
  <si>
    <t>654106AE3</t>
  </si>
  <si>
    <t>654106AJ2</t>
  </si>
  <si>
    <t>654106AG8</t>
  </si>
  <si>
    <t>654106AD5</t>
  </si>
  <si>
    <t>Total</t>
  </si>
  <si>
    <t>—</t>
  </si>
  <si>
    <t>After-Tax Cost of Debt</t>
  </si>
  <si>
    <t>Kd</t>
  </si>
  <si>
    <t>Tax Rate</t>
  </si>
  <si>
    <t>Market Value</t>
  </si>
  <si>
    <t>Shares Outstanding (diluted)</t>
  </si>
  <si>
    <t>Closing Price (May 31st 2025)</t>
  </si>
  <si>
    <t>Equity Market Value</t>
  </si>
  <si>
    <t>million</t>
  </si>
  <si>
    <t>WACC Contribution</t>
  </si>
  <si>
    <t>Component</t>
  </si>
  <si>
    <t>Market Value ($ million)</t>
  </si>
  <si>
    <t>Weight</t>
  </si>
  <si>
    <t>Common Equity</t>
  </si>
  <si>
    <t>Debt (fair value)</t>
  </si>
  <si>
    <t>Preferred</t>
  </si>
  <si>
    <t>~0</t>
  </si>
  <si>
    <t>Total Firm Value</t>
  </si>
  <si>
    <t>Equity</t>
  </si>
  <si>
    <t>Debt</t>
  </si>
  <si>
    <t>Total WACC</t>
  </si>
  <si>
    <t>~0.3</t>
  </si>
  <si>
    <t>Depreciation (MACRS 5-Year Schedule)</t>
  </si>
  <si>
    <t>Year</t>
  </si>
  <si>
    <t>MACRS Rate</t>
  </si>
  <si>
    <t>Depreciation</t>
  </si>
  <si>
    <t>Base</t>
  </si>
  <si>
    <t>Depreciation (million)]</t>
  </si>
  <si>
    <t>Book Value</t>
  </si>
  <si>
    <t>Gain</t>
  </si>
  <si>
    <t>Tax on gain</t>
  </si>
  <si>
    <t>Tax</t>
  </si>
  <si>
    <t>After-tax salvage value</t>
  </si>
  <si>
    <t>Capital Spending Cash Flow</t>
  </si>
  <si>
    <t>Item</t>
  </si>
  <si>
    <t>Year 0</t>
  </si>
  <si>
    <t>Year 1</t>
  </si>
  <si>
    <t>Year 2</t>
  </si>
  <si>
    <t>Year 3</t>
  </si>
  <si>
    <t>Year 4</t>
  </si>
  <si>
    <t>Year 5</t>
  </si>
  <si>
    <t>Opportunity Cost</t>
  </si>
  <si>
    <t>Machine Purchase (CapEx)</t>
  </si>
  <si>
    <t>Total (Capital Spending)</t>
  </si>
  <si>
    <t>($,000s)</t>
  </si>
  <si>
    <t>Pro Forma Income Statement (Years 1–5)</t>
  </si>
  <si>
    <t>Sales</t>
  </si>
  <si>
    <t>Variable Costs</t>
  </si>
  <si>
    <t>Fixed Costs</t>
  </si>
  <si>
    <t>EBIT</t>
  </si>
  <si>
    <t>Taxes @23%</t>
  </si>
  <si>
    <t>Net Income</t>
  </si>
  <si>
    <t>SGR</t>
  </si>
  <si>
    <t>Sales Year 1</t>
  </si>
  <si>
    <t>Variable Cost</t>
  </si>
  <si>
    <t>Variable growth</t>
  </si>
  <si>
    <t>Operating Cash Flow</t>
  </si>
  <si>
    <t>OCF</t>
  </si>
  <si>
    <t>Net Working Capital (NWC)</t>
  </si>
  <si>
    <t>NWC</t>
  </si>
  <si>
    <t>Projected NWC</t>
  </si>
  <si>
    <t>Final Year</t>
  </si>
  <si>
    <t>Free Cash Flow</t>
  </si>
  <si>
    <t>∆NWC</t>
  </si>
  <si>
    <t>CapEx</t>
  </si>
  <si>
    <t>Salvage</t>
  </si>
  <si>
    <t>FCF</t>
  </si>
  <si>
    <t>Change in NWC</t>
  </si>
  <si>
    <t>NPV</t>
  </si>
  <si>
    <t>Discount Rate</t>
  </si>
  <si>
    <t>IRR</t>
  </si>
  <si>
    <t>MIRR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</si>
</sst>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8" formatCode="0.000000%"/>
    <numFmt numFmtId="169" formatCode="0.0000"/>
    <numFmt numFmtId="170" formatCode="0.0000%"/>
    <numFmt numFmtId="172" formatCode="0.0"/>
    <numFmt numFmtId="175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9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10" fontId="0" fillId="0" borderId="0" xfId="0" applyNumberFormat="1"/>
    <xf numFmtId="168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69" fontId="1" fillId="0" borderId="0" xfId="0" applyNumberFormat="1" applyFont="1" applyAlignment="1"/>
    <xf numFmtId="169" fontId="0" fillId="0" borderId="0" xfId="0" applyNumberFormat="1" applyAlignment="1"/>
    <xf numFmtId="169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right" vertical="center"/>
    </xf>
    <xf numFmtId="169" fontId="0" fillId="0" borderId="0" xfId="0" applyNumberFormat="1" applyAlignment="1">
      <alignment vertical="center"/>
    </xf>
    <xf numFmtId="169" fontId="0" fillId="0" borderId="0" xfId="0" applyNumberFormat="1" applyAlignment="1">
      <alignment horizontal="right" vertical="center"/>
    </xf>
    <xf numFmtId="169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9" fontId="0" fillId="0" borderId="0" xfId="0" applyNumberFormat="1" applyAlignment="1"/>
    <xf numFmtId="0" fontId="2" fillId="2" borderId="1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left" vertical="center" readingOrder="1"/>
    </xf>
    <xf numFmtId="3" fontId="3" fillId="3" borderId="2" xfId="0" applyNumberFormat="1" applyFont="1" applyFill="1" applyBorder="1" applyAlignment="1">
      <alignment horizontal="left" vertical="center" readingOrder="1"/>
    </xf>
    <xf numFmtId="10" fontId="3" fillId="3" borderId="2" xfId="0" applyNumberFormat="1" applyFont="1" applyFill="1" applyBorder="1" applyAlignment="1">
      <alignment horizontal="left" vertical="center" readingOrder="1"/>
    </xf>
    <xf numFmtId="0" fontId="2" fillId="2" borderId="3" xfId="0" applyFont="1" applyFill="1" applyBorder="1" applyAlignment="1">
      <alignment horizontal="left" vertical="center" readingOrder="1"/>
    </xf>
    <xf numFmtId="3" fontId="3" fillId="4" borderId="3" xfId="0" applyNumberFormat="1" applyFont="1" applyFill="1" applyBorder="1" applyAlignment="1">
      <alignment horizontal="left" vertical="center" readingOrder="1"/>
    </xf>
    <xf numFmtId="10" fontId="3" fillId="4" borderId="3" xfId="0" applyNumberFormat="1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10" fontId="3" fillId="3" borderId="3" xfId="0" applyNumberFormat="1" applyFont="1" applyFill="1" applyBorder="1" applyAlignment="1">
      <alignment horizontal="left" vertical="center" readingOrder="1"/>
    </xf>
    <xf numFmtId="9" fontId="3" fillId="4" borderId="3" xfId="0" applyNumberFormat="1" applyFont="1" applyFill="1" applyBorder="1" applyAlignment="1">
      <alignment horizontal="left" vertical="center" readingOrder="1"/>
    </xf>
    <xf numFmtId="170" fontId="0" fillId="0" borderId="0" xfId="0" applyNumberFormat="1"/>
    <xf numFmtId="0" fontId="2" fillId="2" borderId="0" xfId="0" applyFont="1" applyFill="1" applyBorder="1" applyAlignment="1">
      <alignment horizontal="left" vertical="center" readingOrder="1"/>
    </xf>
    <xf numFmtId="10" fontId="0" fillId="0" borderId="0" xfId="0" applyNumberFormat="1" applyAlignment="1"/>
    <xf numFmtId="172" fontId="0" fillId="0" borderId="0" xfId="0" applyNumberForma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0" fontId="0" fillId="5" borderId="0" xfId="0" applyFill="1"/>
    <xf numFmtId="0" fontId="0" fillId="5" borderId="0" xfId="0" applyFill="1" applyAlignmen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3" fontId="1" fillId="0" borderId="0" xfId="0" applyNumberFormat="1" applyFont="1" applyAlignment="1">
      <alignment horizontal="right" vertical="center" wrapText="1"/>
    </xf>
    <xf numFmtId="9" fontId="0" fillId="0" borderId="0" xfId="0" applyNumberFormat="1"/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1" fontId="0" fillId="0" borderId="0" xfId="0" applyNumberFormat="1"/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right"/>
    </xf>
    <xf numFmtId="175" fontId="0" fillId="0" borderId="0" xfId="0" applyNumberFormat="1"/>
    <xf numFmtId="1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BBFB-2420-404A-A9C4-951009737EFF}">
  <dimension ref="B2:J15"/>
  <sheetViews>
    <sheetView workbookViewId="0">
      <selection activeCell="D15" sqref="D15"/>
    </sheetView>
  </sheetViews>
  <sheetFormatPr defaultRowHeight="14.4" x14ac:dyDescent="0.3"/>
  <cols>
    <col min="2" max="2" width="24.5546875" bestFit="1" customWidth="1"/>
    <col min="3" max="3" width="14.21875" bestFit="1" customWidth="1"/>
    <col min="4" max="4" width="15" bestFit="1" customWidth="1"/>
    <col min="8" max="8" width="16.44140625" bestFit="1" customWidth="1"/>
    <col min="9" max="9" width="24" bestFit="1" customWidth="1"/>
    <col min="10" max="10" width="7.6640625" bestFit="1" customWidth="1"/>
  </cols>
  <sheetData>
    <row r="2" spans="2:10" x14ac:dyDescent="0.3">
      <c r="B2" s="3" t="s">
        <v>0</v>
      </c>
    </row>
    <row r="3" spans="2:10" ht="15" thickBot="1" x14ac:dyDescent="0.35">
      <c r="B3" t="s">
        <v>1</v>
      </c>
      <c r="C3" s="4">
        <v>4.3999999999999997E-2</v>
      </c>
      <c r="D3" t="s">
        <v>4</v>
      </c>
    </row>
    <row r="4" spans="2:10" ht="16.2" thickBot="1" x14ac:dyDescent="0.35">
      <c r="B4" t="s">
        <v>2</v>
      </c>
      <c r="C4">
        <v>1.26</v>
      </c>
      <c r="D4" t="s">
        <v>5</v>
      </c>
      <c r="H4" s="27" t="s">
        <v>35</v>
      </c>
      <c r="I4" s="27" t="s">
        <v>36</v>
      </c>
      <c r="J4" s="27" t="s">
        <v>37</v>
      </c>
    </row>
    <row r="5" spans="2:10" ht="16.8" thickTop="1" thickBot="1" x14ac:dyDescent="0.35">
      <c r="B5" t="s">
        <v>3</v>
      </c>
      <c r="C5" s="4">
        <v>4.6699999999999998E-2</v>
      </c>
      <c r="D5" t="s">
        <v>4</v>
      </c>
      <c r="H5" s="28" t="s">
        <v>38</v>
      </c>
      <c r="I5" s="29">
        <v>176801</v>
      </c>
      <c r="J5" s="30">
        <v>0.96389999999999998</v>
      </c>
    </row>
    <row r="6" spans="2:10" ht="16.2" thickBot="1" x14ac:dyDescent="0.35">
      <c r="H6" s="31" t="s">
        <v>39</v>
      </c>
      <c r="I6" s="32">
        <v>6673</v>
      </c>
      <c r="J6" s="33">
        <v>3.6400000000000002E-2</v>
      </c>
    </row>
    <row r="7" spans="2:10" ht="16.2" thickBot="1" x14ac:dyDescent="0.35">
      <c r="B7" t="s">
        <v>6</v>
      </c>
      <c r="C7" s="5">
        <f>C3+(C4*C5)</f>
        <v>0.10284199999999999</v>
      </c>
      <c r="D7" s="42" t="str">
        <f ca="1">_xlfn.FORMULATEXT(C7)</f>
        <v>=C3+(C4*C5)</v>
      </c>
      <c r="H7" s="31" t="s">
        <v>40</v>
      </c>
      <c r="I7" s="34" t="s">
        <v>41</v>
      </c>
      <c r="J7" s="35">
        <v>0</v>
      </c>
    </row>
    <row r="8" spans="2:10" ht="16.2" thickBot="1" x14ac:dyDescent="0.35">
      <c r="H8" s="31" t="s">
        <v>42</v>
      </c>
      <c r="I8" s="32">
        <v>183423</v>
      </c>
      <c r="J8" s="36">
        <v>1</v>
      </c>
    </row>
    <row r="9" spans="2:10" x14ac:dyDescent="0.3">
      <c r="B9" s="3" t="s">
        <v>29</v>
      </c>
    </row>
    <row r="10" spans="2:10" x14ac:dyDescent="0.3">
      <c r="B10" t="s">
        <v>30</v>
      </c>
      <c r="C10">
        <v>1487.6</v>
      </c>
      <c r="D10" t="s">
        <v>33</v>
      </c>
    </row>
    <row r="11" spans="2:10" x14ac:dyDescent="0.3">
      <c r="B11" t="s">
        <v>31</v>
      </c>
      <c r="C11">
        <v>118.85</v>
      </c>
    </row>
    <row r="13" spans="2:10" x14ac:dyDescent="0.3">
      <c r="B13" t="s">
        <v>32</v>
      </c>
      <c r="C13">
        <f>C10*C11</f>
        <v>176801.25999999998</v>
      </c>
      <c r="D13" t="s">
        <v>33</v>
      </c>
      <c r="E13" s="42" t="str">
        <f ca="1">_xlfn.FORMULATEXT(C13)</f>
        <v>=C10*C11</v>
      </c>
    </row>
    <row r="15" spans="2:10" x14ac:dyDescent="0.3">
      <c r="B15" t="s">
        <v>34</v>
      </c>
      <c r="C15" s="37">
        <f>J5*C7</f>
        <v>9.9129403799999988E-2</v>
      </c>
      <c r="D15" s="42" t="str">
        <f ca="1">_xlfn.FORMULATEXT(C15)</f>
        <v>=J5*C7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5AE9-F86E-469E-81CE-9554935BFBCF}">
  <dimension ref="B2:L20"/>
  <sheetViews>
    <sheetView workbookViewId="0">
      <selection activeCell="E23" sqref="E23"/>
    </sheetView>
  </sheetViews>
  <sheetFormatPr defaultRowHeight="14.4" x14ac:dyDescent="0.3"/>
  <cols>
    <col min="1" max="1" width="8.88671875" style="13"/>
    <col min="2" max="2" width="16" style="13" bestFit="1" customWidth="1"/>
    <col min="3" max="3" width="10.5546875" style="13" bestFit="1" customWidth="1"/>
    <col min="4" max="4" width="11.5546875" style="13" bestFit="1" customWidth="1"/>
    <col min="5" max="5" width="22.44140625" style="13" bestFit="1" customWidth="1"/>
    <col min="6" max="6" width="17.33203125" style="13" bestFit="1" customWidth="1"/>
    <col min="7" max="7" width="24" style="13" bestFit="1" customWidth="1"/>
    <col min="8" max="8" width="10.109375" style="13" bestFit="1" customWidth="1"/>
    <col min="9" max="9" width="14.88671875" style="13" bestFit="1" customWidth="1"/>
    <col min="10" max="16384" width="8.88671875" style="13"/>
  </cols>
  <sheetData>
    <row r="2" spans="2:12" x14ac:dyDescent="0.3">
      <c r="B2" s="17" t="s">
        <v>7</v>
      </c>
      <c r="C2" s="18"/>
      <c r="D2" s="18"/>
      <c r="E2" s="18"/>
      <c r="F2" s="18"/>
      <c r="G2" s="18"/>
      <c r="H2" s="18"/>
      <c r="I2" s="18"/>
    </row>
    <row r="3" spans="2:12" x14ac:dyDescent="0.3">
      <c r="B3" s="19" t="s">
        <v>8</v>
      </c>
      <c r="C3" s="20" t="s">
        <v>9</v>
      </c>
      <c r="D3" s="24" t="s">
        <v>10</v>
      </c>
      <c r="E3" s="20" t="s">
        <v>11</v>
      </c>
      <c r="F3" s="20" t="s">
        <v>12</v>
      </c>
      <c r="G3" s="20" t="s">
        <v>13</v>
      </c>
      <c r="H3" s="24" t="s">
        <v>14</v>
      </c>
      <c r="I3" s="20" t="s">
        <v>15</v>
      </c>
    </row>
    <row r="4" spans="2:12" x14ac:dyDescent="0.3">
      <c r="B4" s="21">
        <v>47569</v>
      </c>
      <c r="C4" s="22" t="s">
        <v>16</v>
      </c>
      <c r="D4" s="25">
        <v>2.8500000000000001E-2</v>
      </c>
      <c r="E4" s="40">
        <v>1500</v>
      </c>
      <c r="F4" s="40">
        <v>1495</v>
      </c>
      <c r="G4" s="22">
        <v>4.3868999999999998</v>
      </c>
      <c r="H4" s="25">
        <f>F4/$F$12</f>
        <v>0.18779047858309258</v>
      </c>
      <c r="I4" s="22">
        <f>H4*G4</f>
        <v>0.82381805049616885</v>
      </c>
    </row>
    <row r="5" spans="2:12" x14ac:dyDescent="0.3">
      <c r="B5" s="21">
        <v>51222</v>
      </c>
      <c r="C5" s="22" t="s">
        <v>17</v>
      </c>
      <c r="D5" s="25">
        <v>3.2500000000000001E-2</v>
      </c>
      <c r="E5" s="40">
        <v>1000</v>
      </c>
      <c r="F5" s="40">
        <v>993</v>
      </c>
      <c r="G5" s="22">
        <v>5.5068000000000001</v>
      </c>
      <c r="H5" s="25">
        <f t="shared" ref="H5:H11" si="0">F5/$F$12</f>
        <v>0.12473307373445547</v>
      </c>
      <c r="I5" s="22">
        <f t="shared" ref="I5:I11" si="1">H5*G5</f>
        <v>0.68688009044089937</v>
      </c>
    </row>
    <row r="6" spans="2:12" x14ac:dyDescent="0.3">
      <c r="B6" s="21">
        <v>54874</v>
      </c>
      <c r="C6" s="22" t="s">
        <v>18</v>
      </c>
      <c r="D6" s="25">
        <v>3.3750000000000002E-2</v>
      </c>
      <c r="E6" s="40">
        <v>1500</v>
      </c>
      <c r="F6" s="40">
        <v>1483</v>
      </c>
      <c r="G6" s="22">
        <v>5.7744</v>
      </c>
      <c r="H6" s="25">
        <f t="shared" si="0"/>
        <v>0.18628313026001758</v>
      </c>
      <c r="I6" s="22">
        <f t="shared" si="1"/>
        <v>1.0756733073734455</v>
      </c>
      <c r="L6" s="12" t="s">
        <v>28</v>
      </c>
    </row>
    <row r="7" spans="2:12" x14ac:dyDescent="0.3">
      <c r="B7" s="21">
        <v>46327</v>
      </c>
      <c r="C7" s="22" t="s">
        <v>19</v>
      </c>
      <c r="D7" s="25">
        <v>2.375E-2</v>
      </c>
      <c r="E7" s="40">
        <v>1000</v>
      </c>
      <c r="F7" s="40">
        <v>999</v>
      </c>
      <c r="G7" s="22">
        <v>4.2005999999999997</v>
      </c>
      <c r="H7" s="25">
        <f t="shared" si="0"/>
        <v>0.12548674789599296</v>
      </c>
      <c r="I7" s="22">
        <f t="shared" si="1"/>
        <v>0.52711963321190802</v>
      </c>
      <c r="L7" s="26">
        <v>0.23</v>
      </c>
    </row>
    <row r="8" spans="2:12" x14ac:dyDescent="0.3">
      <c r="B8" s="21">
        <v>53267</v>
      </c>
      <c r="C8" s="22" t="s">
        <v>20</v>
      </c>
      <c r="D8" s="25">
        <v>3.875E-2</v>
      </c>
      <c r="E8" s="40">
        <v>1000</v>
      </c>
      <c r="F8" s="40">
        <v>997</v>
      </c>
      <c r="G8" s="22">
        <v>5.7775999999999996</v>
      </c>
      <c r="H8" s="25">
        <f t="shared" si="0"/>
        <v>0.12523552317548048</v>
      </c>
      <c r="I8" s="22">
        <f t="shared" si="1"/>
        <v>0.72356075869865599</v>
      </c>
    </row>
    <row r="9" spans="2:12" x14ac:dyDescent="0.3">
      <c r="B9" s="21">
        <v>46473</v>
      </c>
      <c r="C9" s="22" t="s">
        <v>21</v>
      </c>
      <c r="D9" s="25">
        <v>2.75E-2</v>
      </c>
      <c r="E9" s="40">
        <v>1000</v>
      </c>
      <c r="F9" s="40">
        <v>999</v>
      </c>
      <c r="G9" s="22">
        <v>4.2224000000000004</v>
      </c>
      <c r="H9" s="25">
        <f t="shared" si="0"/>
        <v>0.12548674789599296</v>
      </c>
      <c r="I9" s="22">
        <f t="shared" si="1"/>
        <v>0.5298552443160407</v>
      </c>
    </row>
    <row r="10" spans="2:12" x14ac:dyDescent="0.3">
      <c r="B10" s="21">
        <v>53632</v>
      </c>
      <c r="C10" s="22" t="s">
        <v>22</v>
      </c>
      <c r="D10" s="25">
        <v>3.3750000000000002E-2</v>
      </c>
      <c r="E10" s="40">
        <v>500</v>
      </c>
      <c r="F10" s="40">
        <v>493</v>
      </c>
      <c r="G10" s="22">
        <v>5.8255999999999997</v>
      </c>
      <c r="H10" s="25">
        <f t="shared" si="0"/>
        <v>6.1926893606330864E-2</v>
      </c>
      <c r="I10" s="22">
        <f t="shared" si="1"/>
        <v>0.36076131139304107</v>
      </c>
    </row>
    <row r="11" spans="2:12" x14ac:dyDescent="0.3">
      <c r="B11" s="21">
        <v>52352</v>
      </c>
      <c r="C11" s="22" t="s">
        <v>23</v>
      </c>
      <c r="D11" s="25">
        <v>3.6249999999999998E-2</v>
      </c>
      <c r="E11" s="40">
        <v>500</v>
      </c>
      <c r="F11" s="40">
        <v>502</v>
      </c>
      <c r="G11" s="22">
        <v>5.6864999999999997</v>
      </c>
      <c r="H11" s="25">
        <f t="shared" si="0"/>
        <v>6.3057404848637102E-2</v>
      </c>
      <c r="I11" s="22">
        <f t="shared" si="1"/>
        <v>0.35857593267177484</v>
      </c>
    </row>
    <row r="12" spans="2:12" x14ac:dyDescent="0.3">
      <c r="B12" s="23" t="s">
        <v>24</v>
      </c>
      <c r="C12" s="22" t="s">
        <v>25</v>
      </c>
      <c r="D12" s="25" t="s">
        <v>25</v>
      </c>
      <c r="E12" s="41">
        <v>8000</v>
      </c>
      <c r="F12" s="41">
        <v>7961</v>
      </c>
      <c r="G12" s="20"/>
      <c r="H12" s="24">
        <f>SUM(H4:H11)</f>
        <v>0.99999999999999989</v>
      </c>
      <c r="I12" s="22">
        <f>SUM(I4:I11)</f>
        <v>5.0862443286019339</v>
      </c>
    </row>
    <row r="13" spans="2:12" ht="15" thickBot="1" x14ac:dyDescent="0.35"/>
    <row r="14" spans="2:12" ht="16.2" thickBot="1" x14ac:dyDescent="0.35">
      <c r="B14" s="12" t="s">
        <v>26</v>
      </c>
      <c r="F14" s="27" t="s">
        <v>35</v>
      </c>
      <c r="G14" s="27" t="s">
        <v>36</v>
      </c>
      <c r="H14" s="27" t="s">
        <v>37</v>
      </c>
    </row>
    <row r="15" spans="2:12" ht="16.8" thickTop="1" thickBot="1" x14ac:dyDescent="0.35">
      <c r="B15" s="13" t="s">
        <v>27</v>
      </c>
      <c r="C15" s="22">
        <f>I12*(1-L7)</f>
        <v>3.9164081330234892</v>
      </c>
      <c r="D15" s="43" t="str">
        <f ca="1">_xlfn.FORMULATEXT(C15)</f>
        <v>=I12*(1-L7)</v>
      </c>
      <c r="F15" s="28" t="s">
        <v>38</v>
      </c>
      <c r="G15" s="29">
        <v>176801</v>
      </c>
      <c r="H15" s="30">
        <v>0.96389999999999998</v>
      </c>
    </row>
    <row r="16" spans="2:12" ht="16.2" thickBot="1" x14ac:dyDescent="0.35">
      <c r="F16" s="31" t="s">
        <v>39</v>
      </c>
      <c r="G16" s="32">
        <v>6673</v>
      </c>
      <c r="H16" s="33">
        <v>3.6400000000000002E-2</v>
      </c>
    </row>
    <row r="17" spans="2:8" ht="16.2" thickBot="1" x14ac:dyDescent="0.35">
      <c r="F17" s="31" t="s">
        <v>40</v>
      </c>
      <c r="G17" s="34" t="s">
        <v>41</v>
      </c>
      <c r="H17" s="35">
        <v>0</v>
      </c>
    </row>
    <row r="18" spans="2:8" ht="16.2" thickBot="1" x14ac:dyDescent="0.35">
      <c r="F18" s="31" t="s">
        <v>42</v>
      </c>
      <c r="G18" s="32">
        <v>183423</v>
      </c>
      <c r="H18" s="36">
        <v>1</v>
      </c>
    </row>
    <row r="20" spans="2:8" x14ac:dyDescent="0.3">
      <c r="B20" s="13" t="s">
        <v>34</v>
      </c>
      <c r="C20" s="13">
        <f>H16*C15</f>
        <v>0.14255725604205502</v>
      </c>
      <c r="D20" s="43" t="str">
        <f ca="1">_xlfn.FORMULATEXT(C20)</f>
        <v>=H16*C15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C3B3-7AF8-4D7F-AFB9-94D2C45B229E}">
  <dimension ref="C1:E10"/>
  <sheetViews>
    <sheetView workbookViewId="0">
      <selection activeCell="D16" sqref="D16"/>
    </sheetView>
  </sheetViews>
  <sheetFormatPr defaultRowHeight="14.4" x14ac:dyDescent="0.3"/>
  <cols>
    <col min="3" max="3" width="16.44140625" bestFit="1" customWidth="1"/>
    <col min="4" max="4" width="24" bestFit="1" customWidth="1"/>
    <col min="5" max="5" width="7.6640625" bestFit="1" customWidth="1"/>
  </cols>
  <sheetData>
    <row r="1" spans="3:5" ht="15" thickBot="1" x14ac:dyDescent="0.35"/>
    <row r="2" spans="3:5" ht="16.2" thickBot="1" x14ac:dyDescent="0.35">
      <c r="C2" s="27" t="s">
        <v>35</v>
      </c>
      <c r="D2" s="27" t="s">
        <v>36</v>
      </c>
      <c r="E2" s="27" t="s">
        <v>37</v>
      </c>
    </row>
    <row r="3" spans="3:5" ht="16.8" thickTop="1" thickBot="1" x14ac:dyDescent="0.35">
      <c r="C3" s="28" t="s">
        <v>38</v>
      </c>
      <c r="D3" s="29">
        <v>176801</v>
      </c>
      <c r="E3" s="30">
        <v>0.96389999999999998</v>
      </c>
    </row>
    <row r="4" spans="3:5" ht="16.2" thickBot="1" x14ac:dyDescent="0.35">
      <c r="C4" s="31" t="s">
        <v>39</v>
      </c>
      <c r="D4" s="32">
        <v>6673</v>
      </c>
      <c r="E4" s="33">
        <v>3.6400000000000002E-2</v>
      </c>
    </row>
    <row r="5" spans="3:5" ht="16.2" thickBot="1" x14ac:dyDescent="0.35">
      <c r="C5" s="31" t="s">
        <v>40</v>
      </c>
      <c r="D5" s="34" t="s">
        <v>46</v>
      </c>
      <c r="E5" s="35">
        <v>0</v>
      </c>
    </row>
    <row r="6" spans="3:5" ht="16.2" thickBot="1" x14ac:dyDescent="0.35">
      <c r="C6" s="31" t="s">
        <v>42</v>
      </c>
      <c r="D6" s="32">
        <v>183423</v>
      </c>
      <c r="E6" s="36">
        <v>1</v>
      </c>
    </row>
    <row r="8" spans="3:5" ht="15.6" x14ac:dyDescent="0.3">
      <c r="C8" s="38" t="s">
        <v>43</v>
      </c>
      <c r="D8" s="4">
        <v>9.9128999999999995E-2</v>
      </c>
    </row>
    <row r="9" spans="3:5" ht="15.6" x14ac:dyDescent="0.3">
      <c r="C9" s="38" t="s">
        <v>44</v>
      </c>
      <c r="D9" s="39">
        <v>1.42E-3</v>
      </c>
    </row>
    <row r="10" spans="3:5" ht="15.6" x14ac:dyDescent="0.3">
      <c r="C10" s="38" t="s">
        <v>45</v>
      </c>
      <c r="D10" s="4">
        <f>SUM(D8:D9)</f>
        <v>0.100549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6CE1-1F53-40E9-849D-41D15DAA37D8}">
  <dimension ref="B2:L69"/>
  <sheetViews>
    <sheetView tabSelected="1" workbookViewId="0">
      <selection activeCell="D67" sqref="D67"/>
    </sheetView>
  </sheetViews>
  <sheetFormatPr defaultRowHeight="14.4" x14ac:dyDescent="0.3"/>
  <cols>
    <col min="2" max="2" width="24.21875" bestFit="1" customWidth="1"/>
    <col min="3" max="3" width="16.109375" customWidth="1"/>
    <col min="4" max="4" width="20.109375" bestFit="1" customWidth="1"/>
    <col min="5" max="5" width="11.77734375" bestFit="1" customWidth="1"/>
    <col min="9" max="9" width="12.6640625" bestFit="1" customWidth="1"/>
    <col min="11" max="11" width="14" bestFit="1" customWidth="1"/>
  </cols>
  <sheetData>
    <row r="2" spans="2:8" ht="28.8" x14ac:dyDescent="0.3">
      <c r="B2" s="11" t="s">
        <v>47</v>
      </c>
    </row>
    <row r="4" spans="2:8" x14ac:dyDescent="0.3">
      <c r="B4" s="14" t="s">
        <v>48</v>
      </c>
      <c r="C4" s="15" t="s">
        <v>49</v>
      </c>
      <c r="D4" s="15" t="s">
        <v>52</v>
      </c>
    </row>
    <row r="5" spans="2:8" x14ac:dyDescent="0.3">
      <c r="B5" s="45">
        <v>1</v>
      </c>
      <c r="C5" s="16">
        <v>0.2</v>
      </c>
      <c r="D5" s="46">
        <f>$G$5*C5</f>
        <v>6000</v>
      </c>
      <c r="E5" s="42" t="str">
        <f ca="1">_xlfn.FORMULATEXT(D5)</f>
        <v>=$G$5*C5</v>
      </c>
      <c r="F5" t="s">
        <v>51</v>
      </c>
      <c r="G5" s="1">
        <v>30000</v>
      </c>
      <c r="H5" t="s">
        <v>33</v>
      </c>
    </row>
    <row r="6" spans="2:8" x14ac:dyDescent="0.3">
      <c r="B6" s="45">
        <v>2</v>
      </c>
      <c r="C6" s="16">
        <v>0.32</v>
      </c>
      <c r="D6" s="46">
        <f t="shared" ref="D6:D9" si="0">$G$5*C6</f>
        <v>9600</v>
      </c>
    </row>
    <row r="7" spans="2:8" x14ac:dyDescent="0.3">
      <c r="B7" s="45">
        <v>3</v>
      </c>
      <c r="C7" s="16">
        <v>0.192</v>
      </c>
      <c r="D7" s="46">
        <f t="shared" si="0"/>
        <v>5760</v>
      </c>
      <c r="F7" t="s">
        <v>56</v>
      </c>
      <c r="G7" s="2">
        <v>0.23</v>
      </c>
    </row>
    <row r="8" spans="2:8" x14ac:dyDescent="0.3">
      <c r="B8" s="45">
        <v>4</v>
      </c>
      <c r="C8" s="16">
        <v>0.1152</v>
      </c>
      <c r="D8" s="46">
        <f t="shared" si="0"/>
        <v>3456</v>
      </c>
    </row>
    <row r="9" spans="2:8" x14ac:dyDescent="0.3">
      <c r="B9" s="45">
        <v>5</v>
      </c>
      <c r="C9" s="16">
        <v>0.1152</v>
      </c>
      <c r="D9" s="46">
        <f t="shared" si="0"/>
        <v>3456</v>
      </c>
    </row>
    <row r="11" spans="2:8" x14ac:dyDescent="0.3">
      <c r="C11" t="s">
        <v>24</v>
      </c>
      <c r="D11" s="1">
        <f>SUM(D5:D9)</f>
        <v>28272</v>
      </c>
      <c r="E11" s="42" t="str">
        <f ca="1">_xlfn.FORMULATEXT(D11)</f>
        <v>=SUM(D5:D9)</v>
      </c>
    </row>
    <row r="13" spans="2:8" x14ac:dyDescent="0.3">
      <c r="B13" t="s">
        <v>29</v>
      </c>
      <c r="C13" s="1">
        <v>5000000</v>
      </c>
    </row>
    <row r="14" spans="2:8" x14ac:dyDescent="0.3">
      <c r="B14" t="s">
        <v>53</v>
      </c>
      <c r="C14" s="1">
        <f>(G5-D11)*1000</f>
        <v>1728000</v>
      </c>
      <c r="D14" s="42" t="str">
        <f ca="1">_xlfn.FORMULATEXT(C14)</f>
        <v>=(G5-D11)*1000</v>
      </c>
    </row>
    <row r="16" spans="2:8" x14ac:dyDescent="0.3">
      <c r="B16" t="s">
        <v>54</v>
      </c>
      <c r="C16" s="1">
        <f>C13-C14</f>
        <v>3272000</v>
      </c>
    </row>
    <row r="17" spans="2:12" x14ac:dyDescent="0.3">
      <c r="B17" t="s">
        <v>55</v>
      </c>
      <c r="C17">
        <f>C16*G7</f>
        <v>752560</v>
      </c>
      <c r="D17" s="42" t="str">
        <f ca="1">_xlfn.FORMULATEXT(C17)</f>
        <v>=C16*G7</v>
      </c>
    </row>
    <row r="19" spans="2:12" x14ac:dyDescent="0.3">
      <c r="B19" t="s">
        <v>57</v>
      </c>
      <c r="C19" s="1">
        <f>C13-C17</f>
        <v>4247440</v>
      </c>
      <c r="D19" s="42" t="str">
        <f ca="1">_xlfn.FORMULATEXT(C19)</f>
        <v>=C13-C17</v>
      </c>
    </row>
    <row r="21" spans="2:12" x14ac:dyDescent="0.3">
      <c r="B21" s="3" t="s">
        <v>58</v>
      </c>
      <c r="C21" s="3" t="s">
        <v>69</v>
      </c>
    </row>
    <row r="22" spans="2:12" x14ac:dyDescent="0.3">
      <c r="B22" s="6" t="s">
        <v>59</v>
      </c>
      <c r="C22" s="8" t="s">
        <v>60</v>
      </c>
      <c r="D22" s="8" t="s">
        <v>61</v>
      </c>
      <c r="E22" s="8" t="s">
        <v>62</v>
      </c>
      <c r="F22" s="8" t="s">
        <v>63</v>
      </c>
      <c r="G22" s="8" t="s">
        <v>64</v>
      </c>
      <c r="H22" s="8" t="s">
        <v>65</v>
      </c>
    </row>
    <row r="23" spans="2:12" x14ac:dyDescent="0.3">
      <c r="B23" s="9" t="s">
        <v>66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2:12" x14ac:dyDescent="0.3">
      <c r="B24" s="9" t="s">
        <v>67</v>
      </c>
      <c r="C24" s="44">
        <v>-30000</v>
      </c>
      <c r="D24" s="7">
        <v>0</v>
      </c>
      <c r="E24" s="7">
        <v>0</v>
      </c>
      <c r="F24" s="7">
        <v>0</v>
      </c>
      <c r="G24" s="7">
        <v>0</v>
      </c>
      <c r="H24" s="44">
        <v>4247</v>
      </c>
    </row>
    <row r="25" spans="2:12" x14ac:dyDescent="0.3">
      <c r="B25" s="10" t="s">
        <v>68</v>
      </c>
      <c r="C25" s="47">
        <v>-30000</v>
      </c>
      <c r="D25" s="8">
        <v>0</v>
      </c>
      <c r="E25" s="8">
        <v>0</v>
      </c>
      <c r="F25" s="8">
        <v>0</v>
      </c>
      <c r="G25" s="8">
        <v>0</v>
      </c>
      <c r="H25" s="47">
        <v>4247</v>
      </c>
    </row>
    <row r="27" spans="2:12" x14ac:dyDescent="0.3">
      <c r="B27" s="3" t="s">
        <v>70</v>
      </c>
      <c r="D27" s="3" t="s">
        <v>69</v>
      </c>
    </row>
    <row r="28" spans="2:12" ht="28.8" x14ac:dyDescent="0.3">
      <c r="B28" s="6" t="s">
        <v>48</v>
      </c>
      <c r="C28" s="8" t="s">
        <v>71</v>
      </c>
      <c r="D28" s="8" t="s">
        <v>72</v>
      </c>
      <c r="E28" s="8" t="s">
        <v>73</v>
      </c>
      <c r="F28" s="8" t="s">
        <v>50</v>
      </c>
      <c r="G28" s="8" t="s">
        <v>74</v>
      </c>
      <c r="H28" s="8" t="s">
        <v>75</v>
      </c>
      <c r="I28" s="8" t="s">
        <v>76</v>
      </c>
    </row>
    <row r="29" spans="2:12" x14ac:dyDescent="0.3">
      <c r="B29" s="9">
        <v>1</v>
      </c>
      <c r="C29" s="44">
        <f>$L$29*(1+$L$30)^(B29-1)</f>
        <v>35000</v>
      </c>
      <c r="D29" s="44">
        <f>$L$31*(1+$L$32)^(B29-1)</f>
        <v>25000</v>
      </c>
      <c r="E29" s="44">
        <v>10000</v>
      </c>
      <c r="F29" s="44">
        <v>6000</v>
      </c>
      <c r="G29" s="44">
        <f>C29-D29-E29-F29</f>
        <v>-6000</v>
      </c>
      <c r="H29" s="7">
        <f>MAX(G29,0)*$G$7</f>
        <v>0</v>
      </c>
      <c r="I29" s="44">
        <f>G29-H29</f>
        <v>-6000</v>
      </c>
      <c r="K29" s="3" t="s">
        <v>78</v>
      </c>
      <c r="L29">
        <v>35000</v>
      </c>
    </row>
    <row r="30" spans="2:12" x14ac:dyDescent="0.3">
      <c r="B30" s="9">
        <v>2</v>
      </c>
      <c r="C30" s="44">
        <f t="shared" ref="C30:C33" si="1">$L$29*(1+$L$30)^(B30-1)</f>
        <v>37625</v>
      </c>
      <c r="D30" s="44">
        <f t="shared" ref="D30:D33" si="2">$L$31*(1+$L$32)^(B30-1)</f>
        <v>25750</v>
      </c>
      <c r="E30" s="44">
        <v>10000</v>
      </c>
      <c r="F30" s="44">
        <v>9600</v>
      </c>
      <c r="G30" s="44">
        <f t="shared" ref="G30:G33" si="3">C30-D30-E30-F30</f>
        <v>-7725</v>
      </c>
      <c r="H30" s="7">
        <f t="shared" ref="H30:H33" si="4">MAX(G30,0)*$G$7</f>
        <v>0</v>
      </c>
      <c r="I30" s="44">
        <f t="shared" ref="I30:I33" si="5">G30-H30</f>
        <v>-7725</v>
      </c>
      <c r="K30" s="3" t="s">
        <v>77</v>
      </c>
      <c r="L30" s="4">
        <v>7.4999999999999997E-2</v>
      </c>
    </row>
    <row r="31" spans="2:12" x14ac:dyDescent="0.3">
      <c r="B31" s="9">
        <v>3</v>
      </c>
      <c r="C31" s="44">
        <f t="shared" si="1"/>
        <v>40446.875</v>
      </c>
      <c r="D31" s="44">
        <f t="shared" si="2"/>
        <v>26522.5</v>
      </c>
      <c r="E31" s="44">
        <v>10000</v>
      </c>
      <c r="F31" s="44">
        <v>5760</v>
      </c>
      <c r="G31" s="44">
        <f t="shared" si="3"/>
        <v>-1835.625</v>
      </c>
      <c r="H31" s="7">
        <f t="shared" si="4"/>
        <v>0</v>
      </c>
      <c r="I31" s="44">
        <f t="shared" si="5"/>
        <v>-1835.625</v>
      </c>
      <c r="K31" s="3" t="s">
        <v>79</v>
      </c>
      <c r="L31">
        <v>25000</v>
      </c>
    </row>
    <row r="32" spans="2:12" x14ac:dyDescent="0.3">
      <c r="B32" s="9">
        <v>4</v>
      </c>
      <c r="C32" s="44">
        <f t="shared" si="1"/>
        <v>43480.390624999993</v>
      </c>
      <c r="D32" s="44">
        <f t="shared" si="2"/>
        <v>27318.174999999999</v>
      </c>
      <c r="E32" s="44">
        <v>10000</v>
      </c>
      <c r="F32" s="44">
        <v>3456</v>
      </c>
      <c r="G32" s="44">
        <f t="shared" si="3"/>
        <v>2706.2156249999935</v>
      </c>
      <c r="H32" s="7">
        <f t="shared" si="4"/>
        <v>622.4295937499985</v>
      </c>
      <c r="I32" s="44">
        <f t="shared" si="5"/>
        <v>2083.7860312499952</v>
      </c>
      <c r="K32" s="3" t="s">
        <v>80</v>
      </c>
      <c r="L32" s="2">
        <v>0.03</v>
      </c>
    </row>
    <row r="33" spans="2:9" x14ac:dyDescent="0.3">
      <c r="B33" s="9">
        <v>5</v>
      </c>
      <c r="C33" s="44">
        <f t="shared" si="1"/>
        <v>46741.419921874993</v>
      </c>
      <c r="D33" s="44">
        <f t="shared" si="2"/>
        <v>28137.720249999998</v>
      </c>
      <c r="E33" s="44">
        <v>10000</v>
      </c>
      <c r="F33" s="44">
        <v>3456</v>
      </c>
      <c r="G33" s="44">
        <f t="shared" si="3"/>
        <v>5147.6996718749942</v>
      </c>
      <c r="H33" s="7">
        <f t="shared" si="4"/>
        <v>1183.9709245312488</v>
      </c>
      <c r="I33" s="44">
        <f t="shared" si="5"/>
        <v>3963.7287473437455</v>
      </c>
    </row>
    <row r="35" spans="2:9" x14ac:dyDescent="0.3">
      <c r="B35" s="3" t="s">
        <v>81</v>
      </c>
      <c r="C35" s="3" t="s">
        <v>69</v>
      </c>
    </row>
    <row r="36" spans="2:9" x14ac:dyDescent="0.3">
      <c r="B36" s="6" t="s">
        <v>48</v>
      </c>
      <c r="C36" s="53" t="s">
        <v>76</v>
      </c>
      <c r="D36" s="53" t="s">
        <v>50</v>
      </c>
      <c r="E36" s="49" t="s">
        <v>82</v>
      </c>
    </row>
    <row r="37" spans="2:9" x14ac:dyDescent="0.3">
      <c r="B37" s="9">
        <v>1</v>
      </c>
      <c r="C37" s="60">
        <v>-6000</v>
      </c>
      <c r="D37" s="58">
        <v>6000</v>
      </c>
      <c r="E37" s="60">
        <f>C37+D37</f>
        <v>0</v>
      </c>
    </row>
    <row r="38" spans="2:9" x14ac:dyDescent="0.3">
      <c r="B38" s="9">
        <v>2</v>
      </c>
      <c r="C38" s="60">
        <v>-7725</v>
      </c>
      <c r="D38" s="58">
        <v>9600</v>
      </c>
      <c r="E38" s="60">
        <f t="shared" ref="E38:E41" si="6">C38+D38</f>
        <v>1875</v>
      </c>
    </row>
    <row r="39" spans="2:9" x14ac:dyDescent="0.3">
      <c r="B39" s="9">
        <v>3</v>
      </c>
      <c r="C39" s="60">
        <v>-1835.625</v>
      </c>
      <c r="D39" s="58">
        <v>5760</v>
      </c>
      <c r="E39" s="60">
        <f t="shared" si="6"/>
        <v>3924.375</v>
      </c>
    </row>
    <row r="40" spans="2:9" x14ac:dyDescent="0.3">
      <c r="B40" s="9">
        <v>4</v>
      </c>
      <c r="C40" s="60">
        <v>2083.7860312499952</v>
      </c>
      <c r="D40" s="58">
        <v>3456</v>
      </c>
      <c r="E40" s="60">
        <f t="shared" si="6"/>
        <v>5539.7860312499952</v>
      </c>
    </row>
    <row r="41" spans="2:9" x14ac:dyDescent="0.3">
      <c r="B41" s="9">
        <v>5</v>
      </c>
      <c r="C41" s="60">
        <v>3963.7287473437455</v>
      </c>
      <c r="D41" s="58">
        <v>3456</v>
      </c>
      <c r="E41" s="60">
        <f t="shared" si="6"/>
        <v>7419.7287473437455</v>
      </c>
    </row>
    <row r="43" spans="2:9" x14ac:dyDescent="0.3">
      <c r="B43" s="49" t="s">
        <v>83</v>
      </c>
      <c r="C43" s="49" t="s">
        <v>69</v>
      </c>
    </row>
    <row r="44" spans="2:9" x14ac:dyDescent="0.3">
      <c r="B44" s="51" t="s">
        <v>48</v>
      </c>
      <c r="C44" s="53" t="s">
        <v>71</v>
      </c>
      <c r="D44" s="56" t="s">
        <v>84</v>
      </c>
      <c r="E44" s="49" t="s">
        <v>92</v>
      </c>
    </row>
    <row r="45" spans="2:9" s="63" customFormat="1" x14ac:dyDescent="0.3">
      <c r="B45" s="61">
        <v>0</v>
      </c>
      <c r="C45" s="61"/>
      <c r="D45" s="62">
        <v>2000</v>
      </c>
      <c r="E45" s="63">
        <v>-2000</v>
      </c>
    </row>
    <row r="46" spans="2:9" x14ac:dyDescent="0.3">
      <c r="B46" s="54">
        <v>1</v>
      </c>
      <c r="C46" s="60">
        <v>35000</v>
      </c>
      <c r="D46" s="60">
        <f>C46*$H$47</f>
        <v>1750</v>
      </c>
      <c r="E46" s="60">
        <f>D45-D46</f>
        <v>250</v>
      </c>
      <c r="H46" t="s">
        <v>85</v>
      </c>
    </row>
    <row r="47" spans="2:9" x14ac:dyDescent="0.3">
      <c r="B47" s="54">
        <v>2</v>
      </c>
      <c r="C47" s="60">
        <v>37625</v>
      </c>
      <c r="D47" s="60">
        <f t="shared" ref="D47:D50" si="7">C47*$H$47</f>
        <v>1881.25</v>
      </c>
      <c r="E47" s="60">
        <f t="shared" ref="E47:E50" si="8">D46-D47</f>
        <v>-131.25</v>
      </c>
      <c r="H47" s="48">
        <v>0.05</v>
      </c>
    </row>
    <row r="48" spans="2:9" x14ac:dyDescent="0.3">
      <c r="B48" s="54">
        <v>3</v>
      </c>
      <c r="C48" s="60">
        <v>40446.875</v>
      </c>
      <c r="D48" s="60">
        <f t="shared" si="7"/>
        <v>2022.34375</v>
      </c>
      <c r="E48" s="60">
        <f t="shared" si="8"/>
        <v>-141.09375</v>
      </c>
    </row>
    <row r="49" spans="2:9" x14ac:dyDescent="0.3">
      <c r="B49" s="54">
        <v>4</v>
      </c>
      <c r="C49" s="60">
        <v>43480.390624999993</v>
      </c>
      <c r="D49" s="60">
        <f t="shared" si="7"/>
        <v>2174.0195312499995</v>
      </c>
      <c r="E49" s="60">
        <f t="shared" si="8"/>
        <v>-151.67578124999955</v>
      </c>
    </row>
    <row r="50" spans="2:9" x14ac:dyDescent="0.3">
      <c r="B50" s="54">
        <v>5</v>
      </c>
      <c r="C50" s="60">
        <v>46741.419921874993</v>
      </c>
      <c r="D50" s="60">
        <f t="shared" si="7"/>
        <v>2337.0709960937497</v>
      </c>
      <c r="E50" s="60">
        <f t="shared" si="8"/>
        <v>-163.05146484375018</v>
      </c>
      <c r="H50" t="s">
        <v>86</v>
      </c>
      <c r="I50" s="64">
        <f>(D50+E50)*1000</f>
        <v>2174019.5312499995</v>
      </c>
    </row>
    <row r="52" spans="2:9" x14ac:dyDescent="0.3">
      <c r="B52" s="49" t="s">
        <v>87</v>
      </c>
      <c r="C52" s="49" t="s">
        <v>69</v>
      </c>
    </row>
    <row r="53" spans="2:9" x14ac:dyDescent="0.3">
      <c r="B53" s="51" t="s">
        <v>48</v>
      </c>
      <c r="C53" s="53" t="s">
        <v>82</v>
      </c>
      <c r="D53" s="53" t="s">
        <v>88</v>
      </c>
      <c r="E53" s="53" t="s">
        <v>89</v>
      </c>
      <c r="F53" s="53" t="s">
        <v>90</v>
      </c>
      <c r="G53" s="53" t="s">
        <v>91</v>
      </c>
    </row>
    <row r="54" spans="2:9" x14ac:dyDescent="0.3">
      <c r="B54" s="54">
        <v>0</v>
      </c>
      <c r="C54" s="52"/>
      <c r="D54" s="65">
        <v>2000</v>
      </c>
      <c r="E54" s="58">
        <v>30000</v>
      </c>
      <c r="F54" s="52"/>
      <c r="G54" s="58">
        <f>C54-D54-E54+F54</f>
        <v>-32000</v>
      </c>
    </row>
    <row r="55" spans="2:9" x14ac:dyDescent="0.3">
      <c r="B55" s="54">
        <v>1</v>
      </c>
      <c r="C55" s="52">
        <v>0</v>
      </c>
      <c r="D55" s="65">
        <v>-250</v>
      </c>
      <c r="E55" s="52">
        <v>0</v>
      </c>
      <c r="F55" s="52"/>
      <c r="G55" s="58">
        <f t="shared" ref="G55:G59" si="9">C55-D55-E55+F55</f>
        <v>250</v>
      </c>
    </row>
    <row r="56" spans="2:9" x14ac:dyDescent="0.3">
      <c r="B56" s="54">
        <v>2</v>
      </c>
      <c r="C56" s="58">
        <v>1875</v>
      </c>
      <c r="D56" s="65">
        <v>131.25</v>
      </c>
      <c r="E56" s="52">
        <v>0</v>
      </c>
      <c r="F56" s="52"/>
      <c r="G56" s="58">
        <f t="shared" si="9"/>
        <v>1743.75</v>
      </c>
    </row>
    <row r="57" spans="2:9" x14ac:dyDescent="0.3">
      <c r="B57" s="54">
        <v>3</v>
      </c>
      <c r="C57" s="58">
        <v>3924.375</v>
      </c>
      <c r="D57" s="65">
        <v>141.09375</v>
      </c>
      <c r="E57" s="52">
        <v>0</v>
      </c>
      <c r="F57" s="52"/>
      <c r="G57" s="58">
        <f t="shared" si="9"/>
        <v>3783.28125</v>
      </c>
    </row>
    <row r="58" spans="2:9" x14ac:dyDescent="0.3">
      <c r="B58" s="54">
        <v>4</v>
      </c>
      <c r="C58" s="58">
        <v>5539.7860312499952</v>
      </c>
      <c r="D58" s="65">
        <v>151.67578125</v>
      </c>
      <c r="E58" s="52">
        <v>0</v>
      </c>
      <c r="F58" s="52"/>
      <c r="G58" s="58">
        <f t="shared" si="9"/>
        <v>5388.1102499999952</v>
      </c>
    </row>
    <row r="59" spans="2:9" x14ac:dyDescent="0.3">
      <c r="B59" s="54">
        <v>5</v>
      </c>
      <c r="C59" s="58">
        <v>7419.7287473437455</v>
      </c>
      <c r="D59" s="65">
        <v>-2174</v>
      </c>
      <c r="E59" s="52">
        <v>0</v>
      </c>
      <c r="F59" s="58">
        <v>4247</v>
      </c>
      <c r="G59" s="58">
        <f t="shared" si="9"/>
        <v>13840.728747343746</v>
      </c>
    </row>
    <row r="61" spans="2:9" x14ac:dyDescent="0.3">
      <c r="C61" s="49"/>
    </row>
    <row r="62" spans="2:9" x14ac:dyDescent="0.3">
      <c r="B62" s="49" t="s">
        <v>93</v>
      </c>
      <c r="C62" s="67">
        <f>NPV(F62,G54,G55,G56,G57,G58,G59)</f>
        <v>-14676.063723028043</v>
      </c>
      <c r="D62" s="67">
        <f>C62*1000</f>
        <v>-14676063.723028043</v>
      </c>
      <c r="E62" s="57" t="s">
        <v>94</v>
      </c>
      <c r="F62" s="50">
        <v>0.1205</v>
      </c>
    </row>
    <row r="63" spans="2:9" x14ac:dyDescent="0.3">
      <c r="B63" s="55" t="s">
        <v>95</v>
      </c>
      <c r="C63" s="68">
        <f>IRR(G54:G59)</f>
        <v>-5.6228749297296599E-2</v>
      </c>
      <c r="D63" s="58"/>
      <c r="E63" s="58"/>
    </row>
    <row r="64" spans="2:9" x14ac:dyDescent="0.3">
      <c r="B64" s="55" t="s">
        <v>96</v>
      </c>
      <c r="C64" s="68">
        <f>MIRR(G54:G59,F62,F62)</f>
        <v>-3.002956715893601E-2</v>
      </c>
      <c r="D64" s="52"/>
      <c r="E64" s="52"/>
    </row>
    <row r="65" spans="2:5" x14ac:dyDescent="0.3">
      <c r="B65" s="54"/>
      <c r="C65" s="52"/>
      <c r="D65" s="58"/>
      <c r="E65" s="66"/>
    </row>
    <row r="66" spans="2:5" x14ac:dyDescent="0.3">
      <c r="B66" s="54"/>
      <c r="C66" s="52"/>
      <c r="D66" s="58"/>
      <c r="E66" s="66"/>
    </row>
    <row r="67" spans="2:5" x14ac:dyDescent="0.3">
      <c r="B67" s="54"/>
      <c r="C67" s="52"/>
      <c r="D67" s="58"/>
      <c r="E67" s="66"/>
    </row>
    <row r="68" spans="2:5" x14ac:dyDescent="0.3">
      <c r="B68" s="54"/>
      <c r="C68" s="52"/>
      <c r="D68" s="58"/>
      <c r="E68" s="66"/>
    </row>
    <row r="69" spans="2:5" x14ac:dyDescent="0.3">
      <c r="B69" s="55"/>
      <c r="C69" s="52"/>
      <c r="D69" s="52"/>
      <c r="E69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</vt:lpstr>
      <vt:lpstr>Debt</vt:lpstr>
      <vt:lpstr>WACC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Mutungi, Vincent</dc:creator>
  <cp:lastModifiedBy>Mutungi, Vincent</cp:lastModifiedBy>
  <dcterms:created xsi:type="dcterms:W3CDTF">2025-12-04T16:30:10Z</dcterms:created>
  <dcterms:modified xsi:type="dcterms:W3CDTF">2025-12-04T21:02:20Z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2025-12-04T19:46:06Z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43b54a86-60a7-4bfe-aeda-fe197e556b9d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